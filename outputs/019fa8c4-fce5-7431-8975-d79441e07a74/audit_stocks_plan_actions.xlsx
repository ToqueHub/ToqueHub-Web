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c559ad16b44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b249e80835894134"/>
    <x:sheet xmlns:r="http://schemas.openxmlformats.org/officeDocument/2006/relationships" name="Audit stocks" sheetId="2" r:id="Rec21b1d2418a44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770"/>
      <x:name val="Carlito"/>
    </x:font>
    <x:font>
      <x:sz val="9"/>
      <x:color rgb="FF5B6770"/>
      <x:name val="Carlito"/>
    </x:font>
    <x:font>
      <x:b/>
      <x:sz val="10"/>
      <x:color rgb="FFFFFFFF"/>
      <x:name val="Carlito"/>
    </x:font>
    <x:font>
      <x:sz val="10"/>
      <x:color rgb="FF1F2933"/>
      <x:name val="Carlito"/>
    </x:font>
    <x:font>
      <x:b/>
      <x:sz val="10"/>
      <x:color rgb="FF16324F"/>
      <x:name val="Carlito"/>
    </x:font>
    <x:font>
      <x:b/>
      <x:sz val="10"/>
      <x:color rgb="FF1F2933"/>
      <x:name val="Carlito"/>
    </x:font>
    <x:font>
      <x:b/>
      <x:sz val="20"/>
      <x:color rgb="FFFFFFFF"/>
      <x:name val="Carlito"/>
    </x:font>
    <x:font>
      <x:sz val="11"/>
      <x:color rgb="FF1F2933"/>
      <x:name val="Carlito"/>
    </x:font>
    <x:font>
      <x:b/>
      <x:sz val="11"/>
      <x:color rgb="FF5B6770"/>
      <x:name val="Carlito"/>
    </x:font>
    <x:font>
      <x:b/>
      <x:sz val="22"/>
      <x:color rgb="FFC62828"/>
      <x:name val="Carlito"/>
    </x:font>
    <x:font>
      <x:b/>
      <x:sz val="22"/>
      <x:color rgb="FFE67E22"/>
      <x:name val="Carlito"/>
    </x:font>
    <x:font>
      <x:b/>
      <x:sz val="22"/>
      <x:color rgb="FF2E7D32"/>
      <x:name val="Carlito"/>
    </x:font>
    <x:font>
      <x:b/>
      <x:sz val="22"/>
      <x:color rgb="FF16324F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b/>
      <x:sz val="10"/>
      <x:color rgb="FFC62828"/>
      <x:name val="Carlito"/>
    </x:font>
    <x:font>
      <x:b/>
      <x:sz val="10"/>
      <x:color rgb="FFE67E22"/>
      <x:name val="Carlito"/>
    </x:font>
    <x:font>
      <x:b/>
      <x:sz val="10"/>
      <x:color rgb="FF2E7D32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1F8"/>
      </x:patternFill>
    </x:fill>
    <x:fill>
      <x:patternFill patternType="solid">
        <x:fgColor rgb="FF1F7A78"/>
      </x:patternFill>
    </x:fill>
    <x:fill>
      <x:patternFill patternType="solid">
        <x:fgColor rgb="FFC62828"/>
      </x:patternFill>
    </x:fill>
    <x:fill>
      <x:patternFill patternType="solid">
        <x:fgColor rgb="FFFFFFFF"/>
      </x:patternFill>
    </x:fill>
    <x:fill>
      <x:patternFill patternType="solid">
        <x:fgColor rgb="FFE67E22"/>
      </x:patternFill>
    </x:fill>
    <x:fill>
      <x:patternFill patternType="solid">
        <x:fgColor rgb="FF2E7D32"/>
      </x:patternFill>
    </x:fill>
    <x:fill>
      <x:patternFill patternType="solid">
        <x:fgColor rgb="FFE7F3F2"/>
      </x:patternFill>
    </x:fill>
    <x:fill>
      <x:patternFill patternType="solid">
        <x:fgColor rgb="FFF4F6F8"/>
      </x:patternFill>
    </x:fill>
    <x:fill>
      <x:patternFill patternType="solid">
        <x:fgColor rgb="FFFFF8E6"/>
      </x:patternFill>
    </x:fill>
  </x:fills>
  <x:borders count="38"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D8E0E7"/>
      </x:bottom>
    </x:border>
    <x:border>
      <x:top style="thin">
        <x:color rgb="FFD8E0E7"/>
      </x:top>
      <x:bottom style="thin">
        <x:color rgb="FFD8E0E7"/>
      </x:bottom>
    </x:border>
    <x:border>
      <x:left style="thin">
        <x:color rgb="FFC62828"/>
      </x:left>
      <x:top style="thin">
        <x:color rgb="FFC62828"/>
      </x:top>
      <x:bottom style="thin">
        <x:color rgb="FFC62828"/>
      </x:bottom>
    </x:border>
    <x:border>
      <x:right style="thin">
        <x:color rgb="FFC62828"/>
      </x:right>
      <x:top style="thin">
        <x:color rgb="FFC62828"/>
      </x:top>
      <x:bottom style="thin">
        <x:color rgb="FFC62828"/>
      </x:bottom>
    </x:border>
    <x:border>
      <x:left style="thin">
        <x:color rgb="FFC62828"/>
      </x:left>
      <x:top style="thin">
        <x:color rgb="FFC62828"/>
      </x:top>
    </x:border>
    <x:border>
      <x:right style="thin">
        <x:color rgb="FFC62828"/>
      </x:right>
      <x:top style="thin">
        <x:color rgb="FFC62828"/>
      </x:top>
    </x:border>
    <x:border>
      <x:left style="thin">
        <x:color rgb="FFC62828"/>
      </x:left>
      <x:bottom style="thin">
        <x:color rgb="FFC62828"/>
      </x:bottom>
    </x:border>
    <x:border>
      <x:right style="thin">
        <x:color rgb="FFC62828"/>
      </x:right>
      <x:bottom style="thin">
        <x:color rgb="FFC62828"/>
      </x:bottom>
    </x:border>
    <x:border>
      <x:left style="thin">
        <x:color rgb="FFE67E22"/>
      </x:left>
      <x:top style="thin">
        <x:color rgb="FFE67E22"/>
      </x:top>
      <x:bottom style="thin">
        <x:color rgb="FFE67E22"/>
      </x:bottom>
    </x:border>
    <x:border>
      <x:right style="thin">
        <x:color rgb="FFE67E22"/>
      </x:right>
      <x:top style="thin">
        <x:color rgb="FFE67E22"/>
      </x:top>
      <x:bottom style="thin">
        <x:color rgb="FFE67E22"/>
      </x:bottom>
    </x:border>
    <x:border>
      <x:left style="thin">
        <x:color rgb="FFE67E22"/>
      </x:left>
      <x:top style="thin">
        <x:color rgb="FFE67E22"/>
      </x:top>
    </x:border>
    <x:border>
      <x:right style="thin">
        <x:color rgb="FFE67E22"/>
      </x:right>
      <x:top style="thin">
        <x:color rgb="FFE67E22"/>
      </x:top>
    </x:border>
    <x:border>
      <x:left style="thin">
        <x:color rgb="FFE67E22"/>
      </x:left>
      <x:bottom style="thin">
        <x:color rgb="FFE67E22"/>
      </x:bottom>
    </x:border>
    <x:border>
      <x:right style="thin">
        <x:color rgb="FFE67E22"/>
      </x:right>
      <x:bottom style="thin">
        <x:color rgb="FFE67E22"/>
      </x:bottom>
    </x:border>
    <x:border>
      <x:left style="thin">
        <x:color rgb="FF2E7D32"/>
      </x:left>
      <x:top style="thin">
        <x:color rgb="FF2E7D32"/>
      </x:top>
      <x:bottom style="thin">
        <x:color rgb="FF2E7D32"/>
      </x:bottom>
    </x:border>
    <x:border>
      <x:right style="thin">
        <x:color rgb="FF2E7D32"/>
      </x:right>
      <x:top style="thin">
        <x:color rgb="FF2E7D32"/>
      </x:top>
      <x:bottom style="thin">
        <x:color rgb="FF2E7D32"/>
      </x:bottom>
    </x:border>
    <x:border>
      <x:left style="thin">
        <x:color rgb="FF2E7D32"/>
      </x:left>
      <x:top style="thin">
        <x:color rgb="FF2E7D32"/>
      </x:top>
    </x:border>
    <x:border>
      <x:right style="thin">
        <x:color rgb="FF2E7D32"/>
      </x:right>
      <x:top style="thin">
        <x:color rgb="FF2E7D32"/>
      </x:top>
    </x:border>
    <x:border>
      <x:left style="thin">
        <x:color rgb="FF2E7D32"/>
      </x:left>
      <x:bottom style="thin">
        <x:color rgb="FF2E7D32"/>
      </x:bottom>
    </x:border>
    <x:border>
      <x:right style="thin">
        <x:color rgb="FF2E7D32"/>
      </x:right>
      <x:bottom style="thin">
        <x:color rgb="FF2E7D32"/>
      </x:bottom>
    </x:border>
    <x:border>
      <x:left style="thin">
        <x:color rgb="FF16324F"/>
      </x:left>
      <x:top style="thin">
        <x:color rgb="FF16324F"/>
      </x:top>
    </x:border>
    <x:border>
      <x:right style="thin">
        <x:color rgb="FF16324F"/>
      </x:right>
      <x:top style="thin">
        <x:color rgb="FF16324F"/>
      </x:top>
    </x:border>
    <x:border>
      <x:left style="thin">
        <x:color rgb="FF16324F"/>
      </x:left>
      <x:bottom style="thin">
        <x:color rgb="FF16324F"/>
      </x:bottom>
    </x:border>
    <x:border>
      <x:right style="thin">
        <x:color rgb="FF16324F"/>
      </x:right>
      <x:bottom style="thin">
        <x:color rgb="FF16324F"/>
      </x:bottom>
    </x:border>
    <x:border>
      <x:left style="thin">
        <x:color rgb="FFD8E0E7"/>
      </x:left>
      <x:top style="thin">
        <x:color rgb="FFD8E0E7"/>
      </x:top>
    </x:border>
    <x:border>
      <x:top style="thin">
        <x:color rgb="FFD8E0E7"/>
      </x:top>
    </x:border>
    <x:border>
      <x:right style="thin">
        <x:color rgb="FFD8E0E7"/>
      </x:right>
      <x:top style="thin">
        <x:color rgb="FFD8E0E7"/>
      </x:top>
    </x:border>
    <x:border>
      <x:left style="thin">
        <x:color rgb="FFD8E0E7"/>
      </x:left>
      <x:bottom style="thin">
        <x:color rgb="FFD8E0E7"/>
      </x:bottom>
    </x:border>
    <x:border>
      <x:right style="thin">
        <x:color rgb="FFD8E0E7"/>
      </x:right>
      <x:bottom style="thin">
        <x:color rgb="FFD8E0E7"/>
      </x:bottom>
    </x:border>
    <x:border>
      <x:left style="thin">
        <x:color rgb="FFD8E0E7"/>
      </x:left>
      <x:top style="thin">
        <x:color rgb="FFD8E0E7"/>
      </x:top>
      <x:bottom style="thin">
        <x:color rgb="FFD8E0E7"/>
      </x:bottom>
    </x:border>
    <x:border>
      <x:right style="thin">
        <x:color rgb="FFD8E0E7"/>
      </x:right>
      <x:top style="thin">
        <x:color rgb="FFD8E0E7"/>
      </x:top>
      <x:bottom style="thin">
        <x:color rgb="FFD8E0E7"/>
      </x:bottom>
    </x:border>
    <x:border>
      <x:left style="thin">
        <x:color rgb="FFE8D6A7"/>
      </x:left>
      <x:top style="thin">
        <x:color rgb="FFE8D6A7"/>
      </x:top>
      <x:bottom style="thin">
        <x:color rgb="FFE8D6A7"/>
      </x:bottom>
    </x:border>
    <x:border>
      <x:top style="thin">
        <x:color rgb="FFE8D6A7"/>
      </x:top>
      <x:bottom style="thin">
        <x:color rgb="FFE8D6A7"/>
      </x:bottom>
    </x:border>
    <x:border>
      <x:right style="thin">
        <x:color rgb="FFE8D6A7"/>
      </x:right>
      <x:top style="thin">
        <x:color rgb="FFE8D6A7"/>
      </x:top>
      <x:bottom style="thin">
        <x:color rgb="FFE8D6A7"/>
      </x:bottom>
    </x:border>
  </x:borders>
  <x:cellStyleXfs count="1">
    <x:xf numFmtId="0" fontId="0" fillId="0" borderId="0"/>
  </x:cellStyleXfs>
  <x:cellXfs count="2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horizontal="center" vertical="top" wrapText="1"/>
    </x:xf>
    <x:xf numFmtId="0" fontId="7" fillId="0" borderId="5" xfId="0" applyNumberFormat="1" applyFont="1" applyFill="1" applyBorder="1" applyAlignment="1">
      <x:alignment horizontal="center" vertical="top" wrapText="1"/>
    </x:xf>
    <x:xf numFmtId="0" fontId="7" fillId="0" borderId="4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200" fontId="5" fillId="0" borderId="4" xfId="0" applyNumberFormat="1" applyFont="1" applyFill="1" applyBorder="1" applyAlignment="1">
      <x:alignment vertical="center" wrapText="1"/>
    </x:xf>
    <x:xf numFmtId="200" fontId="5" fillId="0" borderId="5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8" xfId="0" applyNumberFormat="1" applyFont="1" applyFill="1" applyBorder="1"/>
    <x:xf numFmtId="0" fontId="11" fillId="6" borderId="9" xfId="0" applyNumberFormat="1" applyFont="1" applyFill="1" applyBorder="1"/>
    <x:xf numFmtId="0" fontId="11" fillId="6" borderId="10" xfId="0" applyNumberFormat="1" applyFont="1" applyFill="1" applyBorder="1"/>
    <x:xf numFmtId="0" fontId="11" fillId="6" borderId="11" xfId="0" applyNumberFormat="1" applyFont="1" applyFill="1" applyBorder="1"/>
    <x:xf numFmtId="0" fontId="11" fillId="6" borderId="8" xfId="0" applyNumberFormat="1" applyFont="1" applyFill="1" applyBorder="1" applyAlignment="1">
      <x:alignment horizontal="center"/>
    </x:xf>
    <x:xf numFmtId="0" fontId="11" fillId="6" borderId="9" xfId="0" applyNumberFormat="1" applyFont="1" applyFill="1" applyBorder="1" applyAlignment="1">
      <x:alignment horizontal="center"/>
    </x:xf>
    <x:xf numFmtId="0" fontId="11" fillId="6" borderId="10" xfId="0" applyNumberFormat="1" applyFont="1" applyFill="1" applyBorder="1" applyAlignment="1">
      <x:alignment horizontal="center"/>
    </x:xf>
    <x:xf numFmtId="0" fontId="11" fillId="6" borderId="11" xfId="0" applyNumberFormat="1" applyFont="1" applyFill="1" applyBorder="1" applyAlignment="1">
      <x:alignment horizontal="center"/>
    </x:xf>
    <x:xf numFmtId="0" fontId="11" fillId="6" borderId="8" xfId="0" applyNumberFormat="1" applyFont="1" applyFill="1" applyBorder="1" applyAlignment="1">
      <x:alignment horizontal="center" vertical="center"/>
    </x:xf>
    <x:xf numFmtId="0" fontId="11" fillId="6" borderId="9" xfId="0" applyNumberFormat="1" applyFont="1" applyFill="1" applyBorder="1" applyAlignment="1">
      <x:alignment horizontal="center" vertical="center"/>
    </x:xf>
    <x:xf numFmtId="0" fontId="11" fillId="6" borderId="10" xfId="0" applyNumberFormat="1" applyFont="1" applyFill="1" applyBorder="1" applyAlignment="1">
      <x:alignment horizontal="center" vertical="center"/>
    </x:xf>
    <x:xf numFmtId="0" fontId="11" fillId="6" borderId="1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2" xfId="0" applyNumberFormat="1" applyFont="1" applyFill="1" applyBorder="1"/>
    <x:xf numFmtId="0" fontId="4" fillId="7" borderId="13" xfId="0" applyNumberFormat="1" applyFont="1" applyFill="1" applyBorder="1"/>
    <x:xf numFmtId="0" fontId="4" fillId="7" borderId="12" xfId="0" applyNumberFormat="1" applyFont="1" applyFill="1" applyBorder="1" applyAlignment="1">
      <x:alignment horizontal="center"/>
    </x:xf>
    <x:xf numFmtId="0" fontId="4" fillId="7" borderId="13" xfId="0" applyNumberFormat="1" applyFont="1" applyFill="1" applyBorder="1" applyAlignment="1">
      <x:alignment horizontal="center"/>
    </x:xf>
    <x:xf numFmtId="0" fontId="4" fillId="7" borderId="12" xfId="0" applyNumberFormat="1" applyFont="1" applyFill="1" applyBorder="1" applyAlignment="1">
      <x:alignment horizontal="center" vertical="center"/>
    </x:xf>
    <x:xf numFmtId="0" fontId="4" fillId="7" borderId="13" xfId="0" applyNumberFormat="1" applyFont="1" applyFill="1" applyBorder="1" applyAlignment="1">
      <x:alignment horizontal="center" vertical="center"/>
    </x:xf>
    <x:xf numFmtId="0" fontId="12" fillId="6" borderId="0" xfId="0" applyNumberFormat="1" applyFont="1" applyFill="1" applyBorder="1"/>
    <x:xf numFmtId="0" fontId="12" fillId="6" borderId="14" xfId="0" applyNumberFormat="1" applyFont="1" applyFill="1" applyBorder="1"/>
    <x:xf numFmtId="0" fontId="12" fillId="6" borderId="15" xfId="0" applyNumberFormat="1" applyFont="1" applyFill="1" applyBorder="1"/>
    <x:xf numFmtId="0" fontId="12" fillId="6" borderId="16" xfId="0" applyNumberFormat="1" applyFont="1" applyFill="1" applyBorder="1"/>
    <x:xf numFmtId="0" fontId="12" fillId="6" borderId="17" xfId="0" applyNumberFormat="1" applyFont="1" applyFill="1" applyBorder="1"/>
    <x:xf numFmtId="0" fontId="12" fillId="6" borderId="14" xfId="0" applyNumberFormat="1" applyFont="1" applyFill="1" applyBorder="1" applyAlignment="1">
      <x:alignment horizontal="center"/>
    </x:xf>
    <x:xf numFmtId="0" fontId="12" fillId="6" borderId="15" xfId="0" applyNumberFormat="1" applyFont="1" applyFill="1" applyBorder="1" applyAlignment="1">
      <x:alignment horizontal="center"/>
    </x:xf>
    <x:xf numFmtId="0" fontId="12" fillId="6" borderId="16" xfId="0" applyNumberFormat="1" applyFont="1" applyFill="1" applyBorder="1" applyAlignment="1">
      <x:alignment horizontal="center"/>
    </x:xf>
    <x:xf numFmtId="0" fontId="12" fillId="6" borderId="17" xfId="0" applyNumberFormat="1" applyFont="1" applyFill="1" applyBorder="1" applyAlignment="1">
      <x:alignment horizontal="center"/>
    </x:xf>
    <x:xf numFmtId="0" fontId="12" fillId="6" borderId="14" xfId="0" applyNumberFormat="1" applyFont="1" applyFill="1" applyBorder="1" applyAlignment="1">
      <x:alignment horizontal="center" vertical="center"/>
    </x:xf>
    <x:xf numFmtId="0" fontId="12" fillId="6" borderId="15" xfId="0" applyNumberFormat="1" applyFont="1" applyFill="1" applyBorder="1" applyAlignment="1">
      <x:alignment horizontal="center" vertical="center"/>
    </x:xf>
    <x:xf numFmtId="0" fontId="12" fillId="6" borderId="16" xfId="0" applyNumberFormat="1" applyFont="1" applyFill="1" applyBorder="1" applyAlignment="1">
      <x:alignment horizontal="center" vertical="center"/>
    </x:xf>
    <x:xf numFmtId="0" fontId="12" fillId="6" borderId="17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18" xfId="0" applyNumberFormat="1" applyFont="1" applyFill="1" applyBorder="1"/>
    <x:xf numFmtId="0" fontId="4" fillId="8" borderId="19" xfId="0" applyNumberFormat="1" applyFont="1" applyFill="1" applyBorder="1"/>
    <x:xf numFmtId="0" fontId="4" fillId="8" borderId="18" xfId="0" applyNumberFormat="1" applyFont="1" applyFill="1" applyBorder="1" applyAlignment="1">
      <x:alignment horizontal="center"/>
    </x:xf>
    <x:xf numFmtId="0" fontId="4" fillId="8" borderId="19" xfId="0" applyNumberFormat="1" applyFont="1" applyFill="1" applyBorder="1" applyAlignment="1">
      <x:alignment horizontal="center"/>
    </x:xf>
    <x:xf numFmtId="0" fontId="4" fillId="8" borderId="18" xfId="0" applyNumberFormat="1" applyFont="1" applyFill="1" applyBorder="1" applyAlignment="1">
      <x:alignment horizontal="center" vertical="center"/>
    </x:xf>
    <x:xf numFmtId="0" fontId="4" fillId="8" borderId="19" xfId="0" applyNumberFormat="1" applyFont="1" applyFill="1" applyBorder="1" applyAlignment="1">
      <x:alignment horizontal="center" vertical="center"/>
    </x:xf>
    <x:xf numFmtId="0" fontId="13" fillId="6" borderId="0" xfId="0" applyNumberFormat="1" applyFont="1" applyFill="1" applyBorder="1"/>
    <x:xf numFmtId="0" fontId="13" fillId="6" borderId="20" xfId="0" applyNumberFormat="1" applyFont="1" applyFill="1" applyBorder="1"/>
    <x:xf numFmtId="0" fontId="13" fillId="6" borderId="21" xfId="0" applyNumberFormat="1" applyFont="1" applyFill="1" applyBorder="1"/>
    <x:xf numFmtId="0" fontId="13" fillId="6" borderId="22" xfId="0" applyNumberFormat="1" applyFont="1" applyFill="1" applyBorder="1"/>
    <x:xf numFmtId="0" fontId="13" fillId="6" borderId="23" xfId="0" applyNumberFormat="1" applyFont="1" applyFill="1" applyBorder="1"/>
    <x:xf numFmtId="0" fontId="13" fillId="6" borderId="20" xfId="0" applyNumberFormat="1" applyFont="1" applyFill="1" applyBorder="1" applyAlignment="1">
      <x:alignment horizontal="center"/>
    </x:xf>
    <x:xf numFmtId="0" fontId="13" fillId="6" borderId="21" xfId="0" applyNumberFormat="1" applyFont="1" applyFill="1" applyBorder="1" applyAlignment="1">
      <x:alignment horizontal="center"/>
    </x:xf>
    <x:xf numFmtId="0" fontId="13" fillId="6" borderId="22" xfId="0" applyNumberFormat="1" applyFont="1" applyFill="1" applyBorder="1" applyAlignment="1">
      <x:alignment horizontal="center"/>
    </x:xf>
    <x:xf numFmtId="0" fontId="13" fillId="6" borderId="23" xfId="0" applyNumberFormat="1" applyFont="1" applyFill="1" applyBorder="1" applyAlignment="1">
      <x:alignment horizontal="center"/>
    </x:xf>
    <x:xf numFmtId="0" fontId="13" fillId="6" borderId="20" xfId="0" applyNumberFormat="1" applyFont="1" applyFill="1" applyBorder="1" applyAlignment="1">
      <x:alignment horizontal="center" vertical="center"/>
    </x:xf>
    <x:xf numFmtId="0" fontId="13" fillId="6" borderId="21" xfId="0" applyNumberFormat="1" applyFont="1" applyFill="1" applyBorder="1" applyAlignment="1">
      <x:alignment horizontal="center" vertical="center"/>
    </x:xf>
    <x:xf numFmtId="0" fontId="13" fillId="6" borderId="22" xfId="0" applyNumberFormat="1" applyFont="1" applyFill="1" applyBorder="1" applyAlignment="1">
      <x:alignment horizontal="center" vertical="center"/>
    </x:xf>
    <x:xf numFmtId="0" fontId="13" fillId="6" borderId="23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4" fillId="6" borderId="0" xfId="0" applyNumberFormat="1" applyFont="1" applyFill="1" applyBorder="1"/>
    <x:xf numFmtId="0" fontId="14" fillId="6" borderId="24" xfId="0" applyNumberFormat="1" applyFont="1" applyFill="1" applyBorder="1"/>
    <x:xf numFmtId="0" fontId="14" fillId="6" borderId="25" xfId="0" applyNumberFormat="1" applyFont="1" applyFill="1" applyBorder="1"/>
    <x:xf numFmtId="0" fontId="14" fillId="6" borderId="26" xfId="0" applyNumberFormat="1" applyFont="1" applyFill="1" applyBorder="1"/>
    <x:xf numFmtId="0" fontId="14" fillId="6" borderId="27" xfId="0" applyNumberFormat="1" applyFont="1" applyFill="1" applyBorder="1"/>
    <x:xf numFmtId="0" fontId="14" fillId="6" borderId="24" xfId="0" applyNumberFormat="1" applyFont="1" applyFill="1" applyBorder="1" applyAlignment="1">
      <x:alignment horizontal="center"/>
    </x:xf>
    <x:xf numFmtId="0" fontId="14" fillId="6" borderId="25" xfId="0" applyNumberFormat="1" applyFont="1" applyFill="1" applyBorder="1" applyAlignment="1">
      <x:alignment horizontal="center"/>
    </x:xf>
    <x:xf numFmtId="0" fontId="14" fillId="6" borderId="26" xfId="0" applyNumberFormat="1" applyFont="1" applyFill="1" applyBorder="1" applyAlignment="1">
      <x:alignment horizontal="center"/>
    </x:xf>
    <x:xf numFmtId="0" fontId="14" fillId="6" borderId="27" xfId="0" applyNumberFormat="1" applyFont="1" applyFill="1" applyBorder="1" applyAlignment="1">
      <x:alignment horizontal="center"/>
    </x:xf>
    <x:xf numFmtId="0" fontId="14" fillId="6" borderId="24" xfId="0" applyNumberFormat="1" applyFont="1" applyFill="1" applyBorder="1" applyAlignment="1">
      <x:alignment horizontal="center" vertical="center"/>
    </x:xf>
    <x:xf numFmtId="0" fontId="14" fillId="6" borderId="25" xfId="0" applyNumberFormat="1" applyFont="1" applyFill="1" applyBorder="1" applyAlignment="1">
      <x:alignment horizontal="center" vertical="center"/>
    </x:xf>
    <x:xf numFmtId="0" fontId="14" fillId="6" borderId="26" xfId="0" applyNumberFormat="1" applyFont="1" applyFill="1" applyBorder="1" applyAlignment="1">
      <x:alignment horizontal="center" vertical="center"/>
    </x:xf>
    <x:xf numFmtId="0" fontId="14" fillId="6" borderId="27" xfId="0" applyNumberFormat="1" applyFont="1" applyFill="1" applyBorder="1" applyAlignment="1">
      <x:alignment horizontal="center" vertical="center"/>
    </x:xf>
    <x:xf numFmtId="0" fontId="15" fillId="4" borderId="0" xfId="0" applyNumberFormat="1" applyFont="1" applyFill="1" applyBorder="1"/>
    <x:xf numFmtId="0" fontId="15" fillId="4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28" xfId="0" applyNumberFormat="1" applyFont="1" applyFill="1" applyBorder="1"/>
    <x:xf numFmtId="0" fontId="9" fillId="9" borderId="29" xfId="0" applyNumberFormat="1" applyFont="1" applyFill="1" applyBorder="1"/>
    <x:xf numFmtId="0" fontId="9" fillId="9" borderId="30" xfId="0" applyNumberFormat="1" applyFont="1" applyFill="1" applyBorder="1"/>
    <x:xf numFmtId="0" fontId="9" fillId="9" borderId="31" xfId="0" applyNumberFormat="1" applyFont="1" applyFill="1" applyBorder="1"/>
    <x:xf numFmtId="0" fontId="9" fillId="9" borderId="4" xfId="0" applyNumberFormat="1" applyFont="1" applyFill="1" applyBorder="1"/>
    <x:xf numFmtId="0" fontId="9" fillId="9" borderId="32" xfId="0" applyNumberFormat="1" applyFont="1" applyFill="1" applyBorder="1"/>
    <x:xf numFmtId="0" fontId="9" fillId="9" borderId="28" xfId="0" applyNumberFormat="1" applyFont="1" applyFill="1" applyBorder="1" applyAlignment="1">
      <x:alignment wrapText="1"/>
    </x:xf>
    <x:xf numFmtId="0" fontId="9" fillId="9" borderId="29" xfId="0" applyNumberFormat="1" applyFont="1" applyFill="1" applyBorder="1" applyAlignment="1">
      <x:alignment wrapText="1"/>
    </x:xf>
    <x:xf numFmtId="0" fontId="9" fillId="9" borderId="30" xfId="0" applyNumberFormat="1" applyFont="1" applyFill="1" applyBorder="1" applyAlignment="1">
      <x:alignment wrapText="1"/>
    </x:xf>
    <x:xf numFmtId="0" fontId="9" fillId="9" borderId="31" xfId="0" applyNumberFormat="1" applyFont="1" applyFill="1" applyBorder="1" applyAlignment="1">
      <x:alignment wrapText="1"/>
    </x:xf>
    <x:xf numFmtId="0" fontId="9" fillId="9" borderId="4" xfId="0" applyNumberFormat="1" applyFont="1" applyFill="1" applyBorder="1" applyAlignment="1">
      <x:alignment wrapText="1"/>
    </x:xf>
    <x:xf numFmtId="0" fontId="9" fillId="9" borderId="32" xfId="0" applyNumberFormat="1" applyFont="1" applyFill="1" applyBorder="1" applyAlignment="1">
      <x:alignment wrapText="1"/>
    </x:xf>
    <x:xf numFmtId="0" fontId="9" fillId="9" borderId="28" xfId="0" applyNumberFormat="1" applyFont="1" applyFill="1" applyBorder="1" applyAlignment="1">
      <x:alignment vertical="center" wrapText="1"/>
    </x:xf>
    <x:xf numFmtId="0" fontId="9" fillId="9" borderId="29" xfId="0" applyNumberFormat="1" applyFont="1" applyFill="1" applyBorder="1" applyAlignment="1">
      <x:alignment vertical="center" wrapText="1"/>
    </x:xf>
    <x:xf numFmtId="0" fontId="9" fillId="9" borderId="30" xfId="0" applyNumberFormat="1" applyFont="1" applyFill="1" applyBorder="1" applyAlignment="1">
      <x:alignment vertical="center" wrapText="1"/>
    </x:xf>
    <x:xf numFmtId="0" fontId="9" fillId="9" borderId="31" xfId="0" applyNumberFormat="1" applyFont="1" applyFill="1" applyBorder="1" applyAlignment="1">
      <x:alignment vertical="center" wrapText="1"/>
    </x:xf>
    <x:xf numFmtId="0" fontId="9" fillId="9" borderId="4" xfId="0" applyNumberFormat="1" applyFont="1" applyFill="1" applyBorder="1" applyAlignment="1">
      <x:alignment vertical="center" wrapText="1"/>
    </x:xf>
    <x:xf numFmtId="0" fontId="9" fillId="9" borderId="32" xfId="0" applyNumberFormat="1" applyFont="1" applyFill="1" applyBorder="1" applyAlignment="1">
      <x:alignment vertical="center" wrapText="1"/>
    </x:xf>
    <x:xf numFmtId="0" fontId="16" fillId="2" borderId="0" xfId="0" applyNumberFormat="1" applyFont="1" applyFill="1" applyBorder="1"/>
    <x:xf numFmtId="0" fontId="1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33" xfId="0" applyNumberFormat="1" applyFont="1" applyFill="1" applyBorder="1"/>
    <x:xf numFmtId="0" fontId="6" fillId="3" borderId="5" xfId="0" applyNumberFormat="1" applyFont="1" applyFill="1" applyBorder="1"/>
    <x:xf numFmtId="0" fontId="6" fillId="3" borderId="34" xfId="0" applyNumberFormat="1" applyFont="1" applyFill="1" applyBorder="1"/>
    <x:xf numFmtId="0" fontId="6" fillId="3" borderId="33" xfId="0" applyNumberFormat="1" applyFont="1" applyFill="1" applyBorder="1" applyAlignment="1">
      <x:alignment horizontal="center"/>
    </x:xf>
    <x:xf numFmtId="0" fontId="6" fillId="3" borderId="5" xfId="0" applyNumberFormat="1" applyFont="1" applyFill="1" applyBorder="1" applyAlignment="1">
      <x:alignment horizontal="center"/>
    </x:xf>
    <x:xf numFmtId="0" fontId="6" fillId="3" borderId="34" xfId="0" applyNumberFormat="1" applyFont="1" applyFill="1" applyBorder="1" applyAlignment="1">
      <x:alignment horizontal="center"/>
    </x:xf>
    <x:xf numFmtId="0" fontId="6" fillId="3" borderId="33" xfId="0" applyNumberFormat="1" applyFont="1" applyFill="1" applyBorder="1" applyAlignment="1">
      <x:alignment horizontal="center" vertical="center"/>
    </x:xf>
    <x:xf numFmtId="0" fontId="6" fillId="3" borderId="5" xfId="0" applyNumberFormat="1" applyFont="1" applyFill="1" applyBorder="1" applyAlignment="1">
      <x:alignment horizontal="center" vertical="center"/>
    </x:xf>
    <x:xf numFmtId="0" fontId="6" fillId="3" borderId="34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4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17" fillId="6" borderId="4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4" xfId="0" applyNumberFormat="1" applyFont="1" applyFill="1" applyBorder="1"/>
    <x:xf numFmtId="0" fontId="5" fillId="10" borderId="4" xfId="0" applyNumberFormat="1" applyFont="1" applyFill="1" applyBorder="1" applyAlignment="1">
      <x:alignment wrapText="1"/>
    </x:xf>
    <x:xf numFmtId="0" fontId="5" fillId="10" borderId="4" xfId="0" applyNumberFormat="1" applyFont="1" applyFill="1" applyBorder="1" applyAlignment="1">
      <x:alignment vertical="center" wrapText="1"/>
    </x:xf>
    <x:xf numFmtId="0" fontId="5" fillId="10" borderId="4" xfId="0" applyNumberFormat="1" applyFont="1" applyFill="1" applyBorder="1" applyAlignment="1">
      <x:alignment horizontal="center" vertical="center" wrapText="1"/>
    </x:xf>
    <x:xf numFmtId="0" fontId="17" fillId="10" borderId="4" xfId="0" applyNumberFormat="1" applyFont="1" applyFill="1" applyBorder="1" applyAlignment="1">
      <x:alignment horizontal="center" vertical="center" wrapText="1"/>
    </x:xf>
    <x:xf numFmtId="0" fontId="18" fillId="6" borderId="4" xfId="0" applyNumberFormat="1" applyFont="1" applyFill="1" applyBorder="1" applyAlignment="1">
      <x:alignment horizontal="center" vertical="center" wrapText="1"/>
    </x:xf>
    <x:xf numFmtId="0" fontId="18" fillId="10" borderId="4" xfId="0" applyNumberFormat="1" applyFont="1" applyFill="1" applyBorder="1" applyAlignment="1">
      <x:alignment horizontal="center" vertical="center" wrapText="1"/>
    </x:xf>
    <x:xf numFmtId="0" fontId="19" fillId="6" borderId="4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35" xfId="0" applyNumberFormat="1" applyFont="1" applyFill="1" applyBorder="1"/>
    <x:xf numFmtId="0" fontId="2" fillId="11" borderId="36" xfId="0" applyNumberFormat="1" applyFont="1" applyFill="1" applyBorder="1"/>
    <x:xf numFmtId="0" fontId="2" fillId="11" borderId="37" xfId="0" applyNumberFormat="1" applyFont="1" applyFill="1" applyBorder="1"/>
    <x:xf numFmtId="0" fontId="2" fillId="11" borderId="35" xfId="0" applyNumberFormat="1" applyFont="1" applyFill="1" applyBorder="1" applyAlignment="1">
      <x:alignment wrapText="1"/>
    </x:xf>
    <x:xf numFmtId="0" fontId="2" fillId="11" borderId="36" xfId="0" applyNumberFormat="1" applyFont="1" applyFill="1" applyBorder="1" applyAlignment="1">
      <x:alignment wrapText="1"/>
    </x:xf>
    <x:xf numFmtId="0" fontId="2" fillId="11" borderId="37" xfId="0" applyNumberFormat="1" applyFont="1" applyFill="1" applyBorder="1" applyAlignment="1">
      <x:alignment wrapText="1"/>
    </x:xf>
    <x:xf numFmtId="0" fontId="2" fillId="11" borderId="35" xfId="0" applyNumberFormat="1" applyFont="1" applyFill="1" applyBorder="1" applyAlignment="1">
      <x:alignment vertical="center" wrapText="1"/>
    </x:xf>
    <x:xf numFmtId="0" fontId="2" fillId="11" borderId="36" xfId="0" applyNumberFormat="1" applyFont="1" applyFill="1" applyBorder="1" applyAlignment="1">
      <x:alignment vertical="center" wrapText="1"/>
    </x:xf>
    <x:xf numFmtId="0" fontId="2" fillId="11" borderId="3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FFFFFF"/>
      </x:font>
      <x:fill>
        <x:patternFill patternType="solid">
          <x:bgColor rgb="FFC62828"/>
        </x:patternFill>
      </x:fill>
    </x:dxf>
    <x:dxf>
      <x:font>
        <x:b/>
        <x:color rgb="FFFFFFFF"/>
      </x:font>
      <x:fill>
        <x:patternFill patternType="solid">
          <x:bgColor rgb="FFE67E22"/>
        </x:patternFill>
      </x:fill>
    </x:dxf>
    <x:dxf>
      <x:font>
        <x:b/>
        <x:color rgb="FFFFFFFF"/>
      </x:font>
      <x:fill>
        <x:patternFill patternType="solid">
          <x:bgColor rgb="FF2E7D32"/>
        </x:patternFill>
      </x:fill>
    </x:dxf>
    <x:dxf>
      <x:font>
        <x:b/>
        <x:color rgb="FF256029"/>
      </x:font>
      <x:fill>
        <x:patternFill patternType="solid">
          <x:bgColor rgb="FFD9EEDB"/>
        </x:patternFill>
      </x:fill>
    </x:dxf>
    <x:dxf>
      <x:font>
        <x:b/>
        <x:color rgb="FF8A5A00"/>
      </x:font>
      <x:fill>
        <x:patternFill patternType="solid">
          <x:bgColor rgb="FFFFF1CC"/>
        </x:patternFill>
      </x:fill>
    </x:dxf>
    <x:dxf>
      <x:font>
        <x:b/>
        <x:color rgb="FF922B21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3628c9300d4c31" /><Relationship Type="http://schemas.openxmlformats.org/officeDocument/2006/relationships/theme" Target="/xl/theme/theme1.xml" Id="Re224661d2a60472c" /><Relationship Type="http://schemas.openxmlformats.org/officeDocument/2006/relationships/sharedStrings" Target="/xl/sharedStrings.xml" Id="R9b44a9ca32e54a02" /><Relationship Type="http://schemas.openxmlformats.org/officeDocument/2006/relationships/worksheet" Target="/xl/worksheets/sheet1.xml" Id="Rb249e80835894134" /><Relationship Type="http://schemas.openxmlformats.org/officeDocument/2006/relationships/worksheet" Target="/xl/worksheets/sheet2.xml" Id="Rec21b1d2418a4460" /></Relationships>
</file>

<file path=xl/tables/table1.xml><?xml version="1.0" encoding="utf-8"?>
<x:table xmlns:x="http://schemas.openxmlformats.org/spreadsheetml/2006/main" id="1" name="AuditStocksTable" displayName="AuditStocksTable" ref="A4:J34" headerRowCount="1" totalsRowCount="0" totalsRowShown="0">
  <x:autoFilter ref="A4:J34"/>
  <x:tableColumns count="10">
    <x:tableColumn id="1" name="Priorité"/>
    <x:tableColumn id="2" name="Domaine"/>
    <x:tableColumn id="3" name="Problème constaté"/>
    <x:tableColumn id="4" name="Risque métier"/>
    <x:tableColumn id="5" name="Solution recommandée"/>
    <x:tableColumn id="6" name="Résultat attendu"/>
    <x:tableColumn id="7" name="Statut"/>
    <x:tableColumn id="8" name="Responsable"/>
    <x:tableColumn id="9" name="Échéance"/>
    <x:tableColumn id="10" name="Commentair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d0a16eda3843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8" customHeight="1">
      <x:c r="A1" s="49" t="str">
        <x:v>Synthèse — fiabilisation des stocks</x:v>
      </x:c>
      <x:c r="B1" s="49"/>
      <x:c r="C1" s="49"/>
      <x:c r="D1" s="49"/>
      <x:c r="E1" s="49"/>
      <x:c r="F1" s="49"/>
      <x:c r="G1" s="49"/>
      <x:c r="H1" s="49"/>
    </x:row>
    <x:row r="2" ht="42" customHeight="1">
      <x:c r="A2" s="52" t="str">
        <x:v>Le socle est sérieux, mais les flux production, inventaire et mouvements manuels doivent être unifiés avant une utilisation professionnelle sans surveillance.</x:v>
      </x:c>
      <x:c r="B2" s="52"/>
      <x:c r="C2" s="52"/>
      <x:c r="D2" s="52"/>
      <x:c r="E2" s="52"/>
      <x:c r="F2" s="52"/>
      <x:c r="G2" s="52"/>
      <x:c r="H2" s="52"/>
    </x:row>
    <x:row r="3">
      <x:c r="A3" s="53" t="str">
        <x:v>Date</x:v>
      </x:c>
      <x:c r="B3" s="54" t="n">
        <x:v>46231</x:v>
      </x:c>
    </x:row>
    <x:row r="5">
      <x:c r="A5" s="61" t="str">
        <x:v>Critiques — P0</x:v>
      </x:c>
      <x:c r="B5" s="62"/>
      <x:c r="C5" s="83" t="str">
        <x:v>Importants — P1</x:v>
      </x:c>
      <x:c r="D5" s="84"/>
      <x:c r="E5" s="104" t="str">
        <x:v>Avancés — P2</x:v>
      </x:c>
      <x:c r="F5" s="105"/>
      <x:c r="G5" s="124" t="str">
        <x:v>Total des actions</x:v>
      </x:c>
      <x:c r="H5" s="125"/>
    </x:row>
    <x:row r="6">
      <x:c r="A6" s="73" t="n">
        <x:f>COUNTIF('Audit stocks'!$A$5:$A$34,"P0")</x:f>
        <x:v>10</x:v>
      </x:c>
      <x:c r="B6" s="74"/>
      <x:c r="C6" s="94" t="n">
        <x:f>COUNTIF('Audit stocks'!$A$5:$A$34,"P1")</x:f>
        <x:v>14</x:v>
      </x:c>
      <x:c r="D6" s="95"/>
      <x:c r="E6" s="115" t="n">
        <x:f>COUNTIF('Audit stocks'!$A$5:$A$34,"P2")</x:f>
        <x:v>6</x:v>
      </x:c>
      <x:c r="F6" s="116"/>
      <x:c r="G6" s="135" t="n">
        <x:f>COUNTA('Audit stocks'!$C$5:$C$34)</x:f>
        <x:v>30</x:v>
      </x:c>
      <x:c r="H6" s="136"/>
    </x:row>
    <x:row r="7">
      <x:c r="A7" s="75"/>
      <x:c r="B7" s="76"/>
      <x:c r="C7" s="96"/>
      <x:c r="D7" s="97"/>
      <x:c r="E7" s="117"/>
      <x:c r="F7" s="118"/>
      <x:c r="G7" s="137"/>
      <x:c r="H7" s="138"/>
    </x:row>
    <x:row r="9">
      <x:c r="A9" s="140" t="str">
        <x:v>Décision recommandée</x:v>
      </x:c>
      <x:c r="B9" s="140"/>
      <x:c r="C9" s="140"/>
      <x:c r="D9" s="140"/>
      <x:c r="E9" s="140"/>
      <x:c r="F9" s="140"/>
      <x:c r="G9" s="140"/>
      <x:c r="H9" s="140"/>
    </x:row>
    <x:row r="10">
      <x:c r="A10" s="155" t="str">
        <x:v>Traiter d’abord les P0 : un moteur central et atomique, la connexion réelle entre production et stock, un inventaire par lot/emplacement et une politique claire sur les réservations et les stocks négatifs.</x:v>
      </x:c>
      <x:c r="B10" s="156"/>
      <x:c r="C10" s="156"/>
      <x:c r="D10" s="156"/>
      <x:c r="E10" s="156"/>
      <x:c r="F10" s="156"/>
      <x:c r="G10" s="156"/>
      <x:c r="H10" s="157"/>
    </x:row>
    <x:row r="11">
      <x:c r="A11" s="158"/>
      <x:c r="B11" s="159"/>
      <x:c r="C11" s="159"/>
      <x:c r="D11" s="159"/>
      <x:c r="E11" s="159"/>
      <x:c r="F11" s="159"/>
      <x:c r="G11" s="159"/>
      <x:c r="H11" s="160"/>
    </x:row>
    <x:row r="13">
      <x:c r="A13" s="162" t="str">
        <x:v>Ordre de mise en œuvre recommandé</x:v>
      </x:c>
      <x:c r="B13" s="162"/>
      <x:c r="C13" s="162"/>
      <x:c r="D13" s="162"/>
      <x:c r="E13" s="162"/>
      <x:c r="F13" s="162"/>
      <x:c r="G13" s="162"/>
      <x:c r="H13" s="162"/>
    </x:row>
    <x:row r="14">
      <x:c r="A14" s="170" t="str">
        <x:v>Étape</x:v>
      </x:c>
      <x:c r="B14" s="171" t="str">
        <x:v>Priorité</x:v>
      </x:c>
      <x:c r="C14" s="171" t="str">
        <x:v>Chantier</x:v>
      </x:c>
      <x:c r="D14" s="171" t="str"/>
      <x:c r="E14" s="171" t="str"/>
      <x:c r="F14" s="171" t="str"/>
      <x:c r="G14" s="171" t="str"/>
      <x:c r="H14" s="172" t="str"/>
    </x:row>
    <x:row r="15" ht="30" customHeight="1">
      <x:c r="A15" s="177" t="n">
        <x:v>1</x:v>
      </x:c>
      <x:c r="B15" s="178" t="str">
        <x:v>P0</x:v>
      </x:c>
      <x:c r="C15" s="176" t="str">
        <x:v>Centraliser toutes les écritures dans un moteur de stock atomique.</x:v>
      </x:c>
      <x:c r="D15" s="176"/>
      <x:c r="E15" s="176"/>
      <x:c r="F15" s="176"/>
      <x:c r="G15" s="176"/>
      <x:c r="H15" s="176"/>
    </x:row>
    <x:row r="16" ht="30" customHeight="1">
      <x:c r="A16" s="184" t="n">
        <x:v>2</x:v>
      </x:c>
      <x:c r="B16" s="185" t="str">
        <x:v>P0</x:v>
      </x:c>
      <x:c r="C16" s="183" t="str">
        <x:v>Connecter production, tâches, consommations, lots et produits fabriqués.</x:v>
      </x:c>
      <x:c r="D16" s="183"/>
      <x:c r="E16" s="183"/>
      <x:c r="F16" s="183"/>
      <x:c r="G16" s="183"/>
      <x:c r="H16" s="183"/>
    </x:row>
    <x:row r="17" ht="30" customHeight="1">
      <x:c r="A17" s="177" t="n">
        <x:v>3</x:v>
      </x:c>
      <x:c r="B17" s="178" t="str">
        <x:v>P0</x:v>
      </x:c>
      <x:c r="C17" s="176" t="str">
        <x:v>Refondre l’inventaire au niveau site, emplacement, produit et lot.</x:v>
      </x:c>
      <x:c r="D17" s="176"/>
      <x:c r="E17" s="176"/>
      <x:c r="F17" s="176"/>
      <x:c r="G17" s="176"/>
      <x:c r="H17" s="176"/>
    </x:row>
    <x:row r="18" ht="30" customHeight="1">
      <x:c r="A18" s="184" t="n">
        <x:v>4</x:v>
      </x:c>
      <x:c r="B18" s="185" t="str">
        <x:v>P0</x:v>
      </x:c>
      <x:c r="C18" s="183" t="str">
        <x:v>Faire respecter les réservations et la politique de stock négatif.</x:v>
      </x:c>
      <x:c r="D18" s="183"/>
      <x:c r="E18" s="183"/>
      <x:c r="F18" s="183"/>
      <x:c r="G18" s="183"/>
      <x:c r="H18" s="183"/>
    </x:row>
    <x:row r="19" ht="30" customHeight="1">
      <x:c r="A19" s="177" t="n">
        <x:v>5</x:v>
      </x:c>
      <x:c r="B19" s="186" t="str">
        <x:v>P1</x:v>
      </x:c>
      <x:c r="C19" s="176" t="str">
        <x:v>Simplifier les mouvements et ajouter la réception directe valorisée.</x:v>
      </x:c>
      <x:c r="D19" s="176"/>
      <x:c r="E19" s="176"/>
      <x:c r="F19" s="176"/>
      <x:c r="G19" s="176"/>
      <x:c r="H19" s="176"/>
    </x:row>
    <x:row r="20" ht="30" customHeight="1">
      <x:c r="A20" s="184" t="n">
        <x:v>6</x:v>
      </x:c>
      <x:c r="B20" s="187" t="str">
        <x:v>P1</x:v>
      </x:c>
      <x:c r="C20" s="183" t="str">
        <x:v>Fiabiliser l’historique, les types de mouvements et le tableau de bord.</x:v>
      </x:c>
      <x:c r="D20" s="183"/>
      <x:c r="E20" s="183"/>
      <x:c r="F20" s="183"/>
      <x:c r="G20" s="183"/>
      <x:c r="H20" s="183"/>
    </x:row>
    <x:row r="21" ht="30" customHeight="1">
      <x:c r="A21" s="177" t="n">
        <x:v>7</x:v>
      </x:c>
      <x:c r="B21" s="188" t="str">
        <x:v>P2</x:v>
      </x:c>
      <x:c r="C21" s="176" t="str">
        <x:v>Ajouter inventaires tournants, scan, seuils locaux et analyse des pertes.</x:v>
      </x:c>
      <x:c r="D21" s="176"/>
      <x:c r="E21" s="176"/>
      <x:c r="F21" s="176"/>
      <x:c r="G21" s="176"/>
      <x:c r="H21" s="176"/>
    </x:row>
    <x:row r="23" ht="36" customHeight="1">
      <x:c r="A23" s="197" t="str">
        <x:v>Le détail complet se trouve dans l’onglet « Audit stocks ». Les colonnes Statut, Responsable, Échéance et Commentaires permettent de transformer l’audit en plan de suivi.</x:v>
      </x:c>
      <x:c r="B23" s="198"/>
      <x:c r="C23" s="198"/>
      <x:c r="D23" s="198"/>
      <x:c r="E23" s="198"/>
      <x:c r="F23" s="198"/>
      <x:c r="G23" s="198"/>
      <x:c r="H23" s="199"/>
    </x:row>
  </x:sheetData>
  <x:mergeCells>
    <x:mergeCell ref="A1:H1"/>
    <x:mergeCell ref="A2:H2"/>
    <x:mergeCell ref="A5:B5"/>
    <x:mergeCell ref="A6:B7"/>
    <x:mergeCell ref="C5:D5"/>
    <x:mergeCell ref="C6:D7"/>
    <x:mergeCell ref="E5:F5"/>
    <x:mergeCell ref="E6:F7"/>
    <x:mergeCell ref="G5:H5"/>
    <x:mergeCell ref="G6:H7"/>
    <x:mergeCell ref="A9:H9"/>
    <x:mergeCell ref="A10:H11"/>
    <x:mergeCell ref="A13:H13"/>
    <x:mergeCell ref="C14:H14"/>
    <x:mergeCell ref="C15:H15"/>
    <x:mergeCell ref="C16:H16"/>
    <x:mergeCell ref="C17:H17"/>
    <x:mergeCell ref="C18:H18"/>
    <x:mergeCell ref="C19:H19"/>
    <x:mergeCell ref="C20:H20"/>
    <x:mergeCell ref="C21:H21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38" hidden="0" customWidth="1"/>
    <x:col min="4" max="4" width="42" hidden="0" customWidth="1"/>
    <x:col min="5" max="5" width="52" hidden="0" customWidth="1"/>
    <x:col min="6" max="6" width="38" hidden="0" customWidth="1"/>
    <x:col min="7" max="7" width="13" hidden="0" customWidth="1"/>
    <x:col min="8" max="8" width="18" hidden="0" customWidth="1"/>
    <x:col min="9" max="9" width="13" hidden="0" customWidth="1"/>
    <x:col min="10" max="10" width="30" hidden="0" customWidth="1"/>
  </x:cols>
  <x:sheetData>
    <x:row r="1" ht="34" customHeight="1">
      <x:c r="A1" s="3" t="str">
        <x:v>Audit de la gestion des stocks — problèmes et solutions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6" t="str">
        <x:v>Plan d’actions métier pour fiabiliser les entrées, sorties, productions, inventaires et mouvements de stock.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0" customHeight="1">
      <x:c r="A3" s="8" t="str">
        <x:v>Document préparé le 28 juillet 2026 — P0 : critique · P1 : important · P2 : amélioration avancée</x:v>
      </x:c>
      <x:c r="B3" s="8"/>
      <x:c r="C3" s="8"/>
      <x:c r="D3" s="8"/>
      <x:c r="E3" s="8"/>
      <x:c r="F3" s="8"/>
      <x:c r="G3" s="8"/>
      <x:c r="H3" s="8"/>
      <x:c r="I3" s="8"/>
      <x:c r="J3" s="8"/>
    </x:row>
    <x:row r="4" ht="34" customHeight="1">
      <x:c r="A4" s="20" t="str">
        <x:v>Priorité</x:v>
      </x:c>
      <x:c r="B4" s="21" t="str">
        <x:v>Domaine</x:v>
      </x:c>
      <x:c r="C4" s="21" t="str">
        <x:v>Problème constaté</x:v>
      </x:c>
      <x:c r="D4" s="21" t="str">
        <x:v>Risque métier</x:v>
      </x:c>
      <x:c r="E4" s="21" t="str">
        <x:v>Solution recommandée</x:v>
      </x:c>
      <x:c r="F4" s="21" t="str">
        <x:v>Résultat attendu</x:v>
      </x:c>
      <x:c r="G4" s="21" t="str">
        <x:v>Statut</x:v>
      </x:c>
      <x:c r="H4" s="21" t="str">
        <x:v>Responsable</x:v>
      </x:c>
      <x:c r="I4" s="21" t="str">
        <x:v>Échéance</x:v>
      </x:c>
      <x:c r="J4" s="22" t="str">
        <x:v>Commentaires</x:v>
      </x:c>
    </x:row>
    <x:row r="5" ht="72" customHeight="1">
      <x:c r="A5" s="34" t="str">
        <x:v>P0</x:v>
      </x:c>
      <x:c r="B5" s="36" t="str">
        <x:v>Production</x:v>
      </x:c>
      <x:c r="C5" s="28" t="str">
        <x:v>Une tâche de production peut être marquée terminée sans mouvement de stock.</x:v>
      </x:c>
      <x:c r="D5" s="28" t="str">
        <x:v>Le planning indique que la production est faite alors que les matières ne sont pas sorties et que les produits finis ne sont pas entrés.</x:v>
      </x:c>
      <x:c r="E5" s="28" t="str">
        <x:v>Relier la clôture de la tâche au moteur d’exécution des lots : consommation réelle des ingrédients, création du produit fabriqué et journalisation dans une même transaction.</x:v>
      </x:c>
      <x:c r="F5" s="28" t="str">
        <x:v>Le planning, les lots et les stocks racontent toujours la même réalité.</x:v>
      </x:c>
      <x:c r="G5" s="42" t="str">
        <x:v>À faire</x:v>
      </x:c>
      <x:c r="H5" s="44" t="str"/>
      <x:c r="I5" s="46"/>
      <x:c r="J5" s="28" t="str"/>
    </x:row>
    <x:row r="6" ht="72" customHeight="1">
      <x:c r="A6" s="35" t="str">
        <x:v>P0</x:v>
      </x:c>
      <x:c r="B6" s="37" t="str">
        <x:v>Production</x:v>
      </x:c>
      <x:c r="C6" s="29" t="str">
        <x:v>Le moteur de démarrage et de fin de lot existe côté serveur, mais il n’est pas accessible dans l’interface web.</x:v>
      </x:c>
      <x:c r="D6" s="29" t="str">
        <x:v>Le chef ne peut pas exécuter complètement une fabrication depuis l’outil disponible.</x:v>
      </x:c>
      <x:c r="E6" s="29" t="str">
        <x:v>Ajouter dans le calendrier de fabrication les actions « Démarrer », « Ajuster les quantités réelles » et « Terminer », avec confirmation des consommations et du rendement.</x:v>
      </x:c>
      <x:c r="F6" s="29" t="str">
        <x:v>Une production est pilotable de bout en bout depuis ordinateur ou tablette.</x:v>
      </x:c>
      <x:c r="G6" s="43" t="str">
        <x:v>À faire</x:v>
      </x:c>
      <x:c r="H6" s="45" t="str"/>
      <x:c r="I6" s="47"/>
      <x:c r="J6" s="29" t="str"/>
    </x:row>
    <x:row r="7" ht="72" customHeight="1">
      <x:c r="A7" s="35" t="str">
        <x:v>P0</x:v>
      </x:c>
      <x:c r="B7" s="37" t="str">
        <x:v>Fiabilité</x:v>
      </x:c>
      <x:c r="C7" s="29" t="str">
        <x:v>Certaines entrées et corrections font une lecture puis une écriture du stock au lieu d’un incrément atomique.</x:v>
      </x:c>
      <x:c r="D7" s="29" t="str">
        <x:v>Deux opérations simultanées sur le même stock peuvent écraser une quantité et créer un écart invisible.</x:v>
      </x:c>
      <x:c r="E7" s="29" t="str">
        <x:v>Utiliser des incréments et décréments atomiques en base de données, avec verrou ou contrôle de version sur chaque ligne de stock.</x:v>
      </x:c>
      <x:c r="F7" s="29" t="str">
        <x:v>Aucun mouvement concurrent n’est perdu.</x:v>
      </x:c>
      <x:c r="G7" s="43" t="str">
        <x:v>À faire</x:v>
      </x:c>
      <x:c r="H7" s="45" t="str"/>
      <x:c r="I7" s="47"/>
      <x:c r="J7" s="29" t="str"/>
    </x:row>
    <x:row r="8" ht="72" customHeight="1">
      <x:c r="A8" s="35" t="str">
        <x:v>P0</x:v>
      </x:c>
      <x:c r="B8" s="37" t="str">
        <x:v>Architecture</x:v>
      </x:c>
      <x:c r="C8" s="29" t="str">
        <x:v>La logique de mise à jour du stock est répartie entre plusieurs services.</x:v>
      </x:c>
      <x:c r="D8" s="29" t="str">
        <x:v>Les règles peuvent diverger selon qu’il s’agit d’une réception, d’une production, d’une perte ou d’un inventaire.</x:v>
      </x:c>
      <x:c r="E8" s="29" t="str">
        <x:v>Créer un StockLedger central qui valide l’unité, la disponibilité, le lot, l’emplacement, la réservation et écrit mouvement plus projection de stock dans une transaction.</x:v>
      </x:c>
      <x:c r="F8" s="29" t="str">
        <x:v>Toutes les opérations appliquent les mêmes règles métier.</x:v>
      </x:c>
      <x:c r="G8" s="43" t="str">
        <x:v>À faire</x:v>
      </x:c>
      <x:c r="H8" s="45" t="str"/>
      <x:c r="I8" s="47"/>
      <x:c r="J8" s="29" t="str"/>
    </x:row>
    <x:row r="9" ht="72" customHeight="1">
      <x:c r="A9" s="35" t="str">
        <x:v>P0</x:v>
      </x:c>
      <x:c r="B9" s="37" t="str">
        <x:v>Inventaire</x:v>
      </x:c>
      <x:c r="C9" s="29" t="str">
        <x:v>L’inventaire est principalement agrégé par produit et ne descend pas systématiquement au lot et à l’emplacement.</x:v>
      </x:c>
      <x:c r="D9" s="29" t="str">
        <x:v>Une correction peut être affectée à un stock générique et faire perdre la traçabilité réelle.</x:v>
      </x:c>
      <x:c r="E9" s="29" t="str">
        <x:v>Compter et valider par site, emplacement, produit et lot, en affichant clairement le stock théorique associé à chaque ligne.</x:v>
      </x:c>
      <x:c r="F9" s="29" t="str">
        <x:v>Les écarts sont corrigés exactement là où ils ont été constatés.</x:v>
      </x:c>
      <x:c r="G9" s="43" t="str">
        <x:v>À faire</x:v>
      </x:c>
      <x:c r="H9" s="45" t="str"/>
      <x:c r="I9" s="47"/>
      <x:c r="J9" s="29" t="str"/>
    </x:row>
    <x:row r="10" ht="72" customHeight="1">
      <x:c r="A10" s="35" t="str">
        <x:v>P0</x:v>
      </x:c>
      <x:c r="B10" s="37" t="str">
        <x:v>Inventaire</x:v>
      </x:c>
      <x:c r="C10" s="29" t="str">
        <x:v>Un inventaire partiellement saisi peut être validé.</x:v>
      </x:c>
      <x:c r="D10" s="29" t="str">
        <x:v>Des produits non comptés peuvent être confondus avec des produits absents ou oubliés.</x:v>
      </x:c>
      <x:c r="E10" s="29" t="str">
        <x:v>Ajouter les états « Brouillon », « En comptage », « À vérifier » et « Validé », bloquer la validation tant que les lignes obligatoires ne sont pas traitées et permettre de marquer explicitement « non compté ».</x:v>
      </x:c>
      <x:c r="F10" s="29" t="str">
        <x:v>La validation devient explicite, complète et contrôlable.</x:v>
      </x:c>
      <x:c r="G10" s="43" t="str">
        <x:v>À faire</x:v>
      </x:c>
      <x:c r="H10" s="45" t="str"/>
      <x:c r="I10" s="47"/>
      <x:c r="J10" s="29" t="str"/>
    </x:row>
    <x:row r="11" ht="72" customHeight="1">
      <x:c r="A11" s="35" t="str">
        <x:v>P0</x:v>
      </x:c>
      <x:c r="B11" s="37" t="str">
        <x:v>Inventaire</x:v>
      </x:c>
      <x:c r="C11" s="29" t="str">
        <x:v>La validation d’un inventaire n’est pas suffisamment protégée contre un double lancement concurrent.</x:v>
      </x:c>
      <x:c r="D11" s="29" t="str">
        <x:v>Le même écart peut être appliqué deux fois.</x:v>
      </x:c>
      <x:c r="E11" s="29" t="str">
        <x:v>Ajouter une clé d’idempotence, un verrou de validation et un statut terminal non rejouable dans la même transaction.</x:v>
      </x:c>
      <x:c r="F11" s="29" t="str">
        <x:v>Un inventaire ne peut modifier le stock qu’une seule fois.</x:v>
      </x:c>
      <x:c r="G11" s="43" t="str">
        <x:v>À faire</x:v>
      </x:c>
      <x:c r="H11" s="45" t="str"/>
      <x:c r="I11" s="47"/>
      <x:c r="J11" s="29" t="str"/>
    </x:row>
    <x:row r="12" ht="72" customHeight="1">
      <x:c r="A12" s="35" t="str">
        <x:v>P0</x:v>
      </x:c>
      <x:c r="B12" s="37" t="str">
        <x:v>Réservations</x:v>
      </x:c>
      <x:c r="C12" s="29" t="str">
        <x:v>Les sorties, pertes et transferts manuels ne tiennent pas toujours compte des réservations de production.</x:v>
      </x:c>
      <x:c r="D12" s="29" t="str">
        <x:v>Un ingrédient réservé peut disparaître avant la fabrication et faire échouer le lot au dernier moment.</x:v>
      </x:c>
      <x:c r="E12" s="29" t="str">
        <x:v>Calculer et afficher stock physique, réservé et disponible ; contrôler chaque sortie sur le disponible, avec dérogation tracée pour les rôles autorisés.</x:v>
      </x:c>
      <x:c r="F12" s="29" t="str">
        <x:v>Les besoins de production restent protégés sans bloquer les aléas légitimes.</x:v>
      </x:c>
      <x:c r="G12" s="43" t="str">
        <x:v>À faire</x:v>
      </x:c>
      <x:c r="H12" s="45" t="str"/>
      <x:c r="I12" s="47"/>
      <x:c r="J12" s="29" t="str"/>
    </x:row>
    <x:row r="13" ht="72" customHeight="1">
      <x:c r="A13" s="35" t="str">
        <x:v>P0</x:v>
      </x:c>
      <x:c r="B13" s="37" t="str">
        <x:v>Contrôles</x:v>
      </x:c>
      <x:c r="C13" s="29" t="str">
        <x:v>Le système peut accepter un stock négatif sans politique métier claire.</x:v>
      </x:c>
      <x:c r="D13" s="29" t="str">
        <x:v>Les écarts sont découverts tard et les valorisations deviennent peu fiables.</x:v>
      </x:c>
      <x:c r="E13" s="29" t="str">
        <x:v>Définir une règle par établissement : blocage strict par défaut, ou autorisation exceptionnelle avec motif, permission et alerte.</x:v>
      </x:c>
      <x:c r="F13" s="29" t="str">
        <x:v>Les stocks négatifs deviennent soit impossibles, soit explicitement justifiés.</x:v>
      </x:c>
      <x:c r="G13" s="43" t="str">
        <x:v>À faire</x:v>
      </x:c>
      <x:c r="H13" s="45" t="str"/>
      <x:c r="I13" s="47"/>
      <x:c r="J13" s="29" t="str"/>
    </x:row>
    <x:row r="14" ht="72" customHeight="1">
      <x:c r="A14" s="35" t="str">
        <x:v>P0</x:v>
      </x:c>
      <x:c r="B14" s="37" t="str">
        <x:v>Dette technique</x:v>
      </x:c>
      <x:c r="C14" s="29" t="str">
        <x:v>Un ancien mécanisme de déstockage de production reste accessible.</x:v>
      </x:c>
      <x:c r="D14" s="29" t="str">
        <x:v>Il peut déduire la mauvaise ligne, ignorer les unités, les sites, les lots et les réservations.</x:v>
      </x:c>
      <x:c r="E14" s="29" t="str">
        <x:v>Retirer l’ancien endpoint après migration, ou le rediriger vers le moteur transactionnel moderne avec tests de non-régression.</x:v>
      </x:c>
      <x:c r="F14" s="29" t="str">
        <x:v>Une seule méthode fiable de déstockage reste utilisable.</x:v>
      </x:c>
      <x:c r="G14" s="43" t="str">
        <x:v>À faire</x:v>
      </x:c>
      <x:c r="H14" s="45" t="str"/>
      <x:c r="I14" s="47"/>
      <x:c r="J14" s="29" t="str"/>
    </x:row>
    <x:row r="15" ht="72" customHeight="1">
      <x:c r="A15" s="35" t="str">
        <x:v>P1</x:v>
      </x:c>
      <x:c r="B15" s="37" t="str">
        <x:v>Emplacements</x:v>
      </x:c>
      <x:c r="C15" s="29" t="str">
        <x:v>Les mouvements manuels ne permettent pas réellement de choisir un emplacement de stockage.</x:v>
      </x:c>
      <x:c r="D15" s="29" t="str">
        <x:v>Le chef sait que le produit est sur le site, mais pas dans quelle réserve, chambre froide ou zone.</x:v>
      </x:c>
      <x:c r="E15" s="29" t="str">
        <x:v>Ajouter l’emplacement source et destination dans les formulaires et dans les règles du serveur.</x:v>
      </x:c>
      <x:c r="F15" s="29" t="str">
        <x:v>Le stock est localisable physiquement.</x:v>
      </x:c>
      <x:c r="G15" s="43" t="str">
        <x:v>À faire</x:v>
      </x:c>
      <x:c r="H15" s="45" t="str"/>
      <x:c r="I15" s="47"/>
      <x:c r="J15" s="29" t="str"/>
    </x:row>
    <x:row r="16" ht="72" customHeight="1">
      <x:c r="A16" s="35" t="str">
        <x:v>P1</x:v>
      </x:c>
      <x:c r="B16" s="37" t="str">
        <x:v>Ergonomie</x:v>
      </x:c>
      <x:c r="C16" s="29" t="str">
        <x:v>La gestion des emplacements est peu visible dans la navigation.</x:v>
      </x:c>
      <x:c r="D16" s="29" t="str">
        <x:v>Les équipes n’activent pas une fonction qu’elles ne trouvent pas.</x:v>
      </x:c>
      <x:c r="E16" s="29" t="str">
        <x:v>Ajouter une rubrique « Emplacements » dans Stocks et dans les paramètres, avec un assistant simple de création des zones.</x:v>
      </x:c>
      <x:c r="F16" s="29" t="str">
        <x:v>La structure de stockage est compréhensible et facile à configurer.</x:v>
      </x:c>
      <x:c r="G16" s="43" t="str">
        <x:v>À faire</x:v>
      </x:c>
      <x:c r="H16" s="45" t="str"/>
      <x:c r="I16" s="47"/>
      <x:c r="J16" s="29" t="str"/>
    </x:row>
    <x:row r="17" ht="72" customHeight="1">
      <x:c r="A17" s="35" t="str">
        <x:v>P1</x:v>
      </x:c>
      <x:c r="B17" s="37" t="str">
        <x:v>Transferts</x:v>
      </x:c>
      <x:c r="C17" s="29" t="str">
        <x:v>Un transfert peut proposer le même site comme origine et destination.</x:v>
      </x:c>
      <x:c r="D17" s="29" t="str">
        <x:v>Un faux mouvement peut être enregistré sans changement physique.</x:v>
      </x:c>
      <x:c r="E17" s="29" t="str">
        <x:v>Exclure automatiquement la destination choisie comme source et refuser côté serveur toute origine identique à la destination.</x:v>
      </x:c>
      <x:c r="F17" s="29" t="str">
        <x:v>Chaque transfert correspond à un déplacement réel.</x:v>
      </x:c>
      <x:c r="G17" s="43" t="str">
        <x:v>À faire</x:v>
      </x:c>
      <x:c r="H17" s="45" t="str"/>
      <x:c r="I17" s="47"/>
      <x:c r="J17" s="29" t="str"/>
    </x:row>
    <x:row r="18" ht="72" customHeight="1">
      <x:c r="A18" s="35" t="str">
        <x:v>P1</x:v>
      </x:c>
      <x:c r="B18" s="37" t="str">
        <x:v>Lots et DLC</x:v>
      </x:c>
      <x:c r="C18" s="29" t="str">
        <x:v>Les mouvements manuels ne permettent pas de sélectionner clairement un lot ou une DLC.</x:v>
      </x:c>
      <x:c r="D18" s="29" t="str">
        <x:v>La traçabilité FEFO est incomplète et les pertes peuvent être imputées au mauvais lot.</x:v>
      </x:c>
      <x:c r="E18" s="29" t="str">
        <x:v>Afficher les lots disponibles avec quantité, DLC et emplacement ; sélectionner automatiquement le lot FEFO tout en permettant une modification contrôlée.</x:v>
      </x:c>
      <x:c r="F18" s="29" t="str">
        <x:v>Les sorties et pertes restent traçables jusqu’au lot.</x:v>
      </x:c>
      <x:c r="G18" s="43" t="str">
        <x:v>À faire</x:v>
      </x:c>
      <x:c r="H18" s="45" t="str"/>
      <x:c r="I18" s="47"/>
      <x:c r="J18" s="29" t="str"/>
    </x:row>
    <x:row r="19" ht="72" customHeight="1">
      <x:c r="A19" s="35" t="str">
        <x:v>P1</x:v>
      </x:c>
      <x:c r="B19" s="37" t="str">
        <x:v>Réceptions</x:v>
      </x:c>
      <x:c r="C19" s="29" t="str">
        <x:v>Une livraison directe hors bon de commande est difficile à enregistrer avec prix, conditionnement et lot.</x:v>
      </x:c>
      <x:c r="D19" s="29" t="str">
        <x:v>Les petites livraisons, achats d’urgence ou apports directs sont mal valorisés ou saisis ailleurs.</x:v>
      </x:c>
      <x:c r="E19" s="29" t="str">
        <x:v>Créer une réception rapide avec fournisseur facultatif, prix, TVA, conditionnement, quantité, lot, DLC, emplacement et justificatif.</x:v>
      </x:c>
      <x:c r="F19" s="29" t="str">
        <x:v>Toutes les entrées réelles peuvent être enregistrées sans détour.</x:v>
      </x:c>
      <x:c r="G19" s="43" t="str">
        <x:v>À faire</x:v>
      </x:c>
      <x:c r="H19" s="45" t="str"/>
      <x:c r="I19" s="47"/>
      <x:c r="J19" s="29" t="str"/>
    </x:row>
    <x:row r="20" ht="72" customHeight="1">
      <x:c r="A20" s="35" t="str">
        <x:v>P1</x:v>
      </x:c>
      <x:c r="B20" s="37" t="str">
        <x:v>Unités</x:v>
      </x:c>
      <x:c r="C20" s="29" t="str">
        <x:v>Le formulaire propose des unités qui peuvent être incompatibles avec le produit.</x:v>
      </x:c>
      <x:c r="D20" s="29" t="str">
        <x:v>L’utilisateur ne découvre l’erreur qu’après validation.</x:v>
      </x:c>
      <x:c r="E20" s="29" t="str">
        <x:v>Filtrer les unités selon la famille du produit et afficher la conversion avant enregistrement.</x:v>
      </x:c>
      <x:c r="F20" s="29" t="str">
        <x:v>La saisie est plus rapide et les erreurs d’unité diminuent.</x:v>
      </x:c>
      <x:c r="G20" s="43" t="str">
        <x:v>À faire</x:v>
      </x:c>
      <x:c r="H20" s="45" t="str"/>
      <x:c r="I20" s="47"/>
      <x:c r="J20" s="29" t="str"/>
    </x:row>
    <x:row r="21" ht="72" customHeight="1">
      <x:c r="A21" s="35" t="str">
        <x:v>P1</x:v>
      </x:c>
      <x:c r="B21" s="37" t="str">
        <x:v>Valorisation</x:v>
      </x:c>
      <x:c r="C21" s="29" t="str">
        <x:v>Une entrée manuelle ne recalcule pas correctement le prix moyen pondéré.</x:v>
      </x:c>
      <x:c r="D21" s="29" t="str">
        <x:v>La valeur du stock et les coûts matière deviennent incomplets.</x:v>
      </x:c>
      <x:c r="E21" s="29" t="str">
        <x:v>Demander le prix net et le conditionnement lors de l’entrée, puis recalculer le PMP dans la transaction de réception.</x:v>
      </x:c>
      <x:c r="F21" s="29" t="str">
        <x:v>La valorisation reste exacte quelle que soit l’origine de l’entrée.</x:v>
      </x:c>
      <x:c r="G21" s="43" t="str">
        <x:v>À faire</x:v>
      </x:c>
      <x:c r="H21" s="45" t="str"/>
      <x:c r="I21" s="47"/>
      <x:c r="J21" s="29" t="str"/>
    </x:row>
    <x:row r="22" ht="72" customHeight="1">
      <x:c r="A22" s="35" t="str">
        <x:v>P1</x:v>
      </x:c>
      <x:c r="B22" s="37" t="str">
        <x:v>Historique</x:v>
      </x:c>
      <x:c r="C22" s="29" t="str">
        <x:v>L’interface ne connaît pas tous les types de mouvements produits par le serveur.</x:v>
      </x:c>
      <x:c r="D22" s="29" t="str">
        <x:v>Certaines consommations, réservations, casses ou expirations sont absentes ou mal libellées.</x:v>
      </x:c>
      <x:c r="E22" s="29" t="str">
        <x:v>Aligner les types frontend et backend et prévoir un libellé métier pour chaque mouvement.</x:v>
      </x:c>
      <x:c r="F22" s="29" t="str">
        <x:v>L’historique est complet et compréhensible.</x:v>
      </x:c>
      <x:c r="G22" s="43" t="str">
        <x:v>À faire</x:v>
      </x:c>
      <x:c r="H22" s="45" t="str"/>
      <x:c r="I22" s="47"/>
      <x:c r="J22" s="29" t="str"/>
    </x:row>
    <x:row r="23" ht="72" customHeight="1">
      <x:c r="A23" s="35" t="str">
        <x:v>P1</x:v>
      </x:c>
      <x:c r="B23" s="37" t="str">
        <x:v>Historique</x:v>
      </x:c>
      <x:c r="C23" s="29" t="str">
        <x:v>Le signe est ajouté dans l’interface alors que la quantité reçue est déjà signée.</x:v>
      </x:c>
      <x:c r="D23" s="29" t="str">
        <x:v>Des valeurs comme « --5 » ou « +-5 » peuvent apparaître.</x:v>
      </x:c>
      <x:c r="E23" s="29" t="str">
        <x:v>Normaliser le contrat API et afficher la quantité signée une seule fois, avec couleur et libellé cohérents.</x:v>
      </x:c>
      <x:c r="F23" s="29" t="str">
        <x:v>Les mouvements sont immédiatement lisibles.</x:v>
      </x:c>
      <x:c r="G23" s="43" t="str">
        <x:v>À faire</x:v>
      </x:c>
      <x:c r="H23" s="45" t="str"/>
      <x:c r="I23" s="47"/>
      <x:c r="J23" s="29" t="str"/>
    </x:row>
    <x:row r="24" ht="72" customHeight="1">
      <x:c r="A24" s="35" t="str">
        <x:v>P1</x:v>
      </x:c>
      <x:c r="B24" s="37" t="str">
        <x:v>Navigation</x:v>
      </x:c>
      <x:c r="C24" s="29" t="str">
        <x:v>L’historique des mouvements est rangé dans une zone peu intuitive.</x:v>
      </x:c>
      <x:c r="D24" s="29" t="str">
        <x:v>Le chef met plus de temps à retrouver la traçabilité quotidienne.</x:v>
      </x:c>
      <x:c r="E24" s="29" t="str">
        <x:v>Ajouter un onglet principal « Mouvements » dans Stocks, avec filtres rapides par date, type, produit, site, lot et utilisateur.</x:v>
      </x:c>
      <x:c r="F24" s="29" t="str">
        <x:v>Le contrôle des entrées et sorties devient une action courante.</x:v>
      </x:c>
      <x:c r="G24" s="43" t="str">
        <x:v>À faire</x:v>
      </x:c>
      <x:c r="H24" s="45" t="str"/>
      <x:c r="I24" s="47"/>
      <x:c r="J24" s="29" t="str"/>
    </x:row>
    <x:row r="25" ht="72" customHeight="1">
      <x:c r="A25" s="35" t="str">
        <x:v>P1</x:v>
      </x:c>
      <x:c r="B25" s="37" t="str">
        <x:v>Tableau de bord</x:v>
      </x:c>
      <x:c r="C25" s="29" t="str">
        <x:v>Les indicateurs web sont calculés sur les premières lignes paginées, souvent limitées à 50.</x:v>
      </x:c>
      <x:c r="D25" s="29" t="str">
        <x:v>La valeur de stock, les consommations et les classements deviennent faux quand le volume augmente.</x:v>
      </x:c>
      <x:c r="E25" s="29" t="str">
        <x:v>Utiliser les agrégats calculés côté serveur et paginer uniquement les listes détaillées.</x:v>
      </x:c>
      <x:c r="F25" s="29" t="str">
        <x:v>Les indicateurs restent exacts quelle que soit la taille de l’établissement.</x:v>
      </x:c>
      <x:c r="G25" s="43" t="str">
        <x:v>À faire</x:v>
      </x:c>
      <x:c r="H25" s="45" t="str"/>
      <x:c r="I25" s="47"/>
      <x:c r="J25" s="29" t="str"/>
    </x:row>
    <x:row r="26" ht="72" customHeight="1">
      <x:c r="A26" s="35" t="str">
        <x:v>P1</x:v>
      </x:c>
      <x:c r="B26" s="37" t="str">
        <x:v>Produits fabriqués</x:v>
      </x:c>
      <x:c r="C26" s="29" t="str">
        <x:v>Les produits finis et intermédiaires ne sont pas clairement visibles dans le catalogue de stock courant.</x:v>
      </x:c>
      <x:c r="D26" s="29" t="str">
        <x:v>Le chef ne voit pas facilement ce qui est fabriqué, réservé, libre ou disponible pour le service.</x:v>
      </x:c>
      <x:c r="E26" s="29" t="str">
        <x:v>Ajouter une vue « Productions en stock » avec quantités physiques, réservées et disponibles, lots, DLC et origine de fabrication.</x:v>
      </x:c>
      <x:c r="F26" s="29" t="str">
        <x:v>Les produits fabriqués sont pilotés comme les matières premières.</x:v>
      </x:c>
      <x:c r="G26" s="43" t="str">
        <x:v>À faire</x:v>
      </x:c>
      <x:c r="H26" s="45" t="str"/>
      <x:c r="I26" s="47"/>
      <x:c r="J26" s="29" t="str"/>
    </x:row>
    <x:row r="27" ht="72" customHeight="1">
      <x:c r="A27" s="35" t="str">
        <x:v>P1</x:v>
      </x:c>
      <x:c r="B27" s="37" t="str">
        <x:v>Permissions</x:v>
      </x:c>
      <x:c r="C27" s="29" t="str">
        <x:v>Certaines autorisations reposent sur des noms de rôles codés en dur.</x:v>
      </x:c>
      <x:c r="D27" s="29" t="str">
        <x:v>Un rôle personnalisé peut avoir trop ou pas assez d’accès.</x:v>
      </x:c>
      <x:c r="E27" s="29" t="str">
        <x:v>Contrôler toutes les routes avec les permissions fonctionnelles existantes : écriture stock, validation d’inventaire, lecture et export d’audit.</x:v>
      </x:c>
      <x:c r="F27" s="29" t="str">
        <x:v>Les droits suivent la responsabilité réelle de chaque utilisateur.</x:v>
      </x:c>
      <x:c r="G27" s="43" t="str">
        <x:v>À faire</x:v>
      </x:c>
      <x:c r="H27" s="45" t="str"/>
      <x:c r="I27" s="47"/>
      <x:c r="J27" s="29" t="str"/>
    </x:row>
    <x:row r="28" ht="72" customHeight="1">
      <x:c r="A28" s="35" t="str">
        <x:v>P1</x:v>
      </x:c>
      <x:c r="B28" s="37" t="str">
        <x:v>Ergonomie</x:v>
      </x:c>
      <x:c r="C28" s="29" t="str">
        <x:v>Les actions quotidiennes sont dispersées entre plusieurs écrans.</x:v>
      </x:c>
      <x:c r="D28" s="29" t="str">
        <x:v>Une opération simple demande trop de navigation, surtout sur tablette.</x:v>
      </x:c>
      <x:c r="E28" s="29" t="str">
        <x:v>Créer quatre actions rapides visibles : « Réceptionner », « Sortir », « Déclarer une perte » et « Transférer », avec formulaires courts adaptés au mobile.</x:v>
      </x:c>
      <x:c r="F28" s="29" t="str">
        <x:v>Les équipes enregistrent les mouvements au moment où ils se produisent.</x:v>
      </x:c>
      <x:c r="G28" s="43" t="str">
        <x:v>À faire</x:v>
      </x:c>
      <x:c r="H28" s="45" t="str"/>
      <x:c r="I28" s="47"/>
      <x:c r="J28" s="29" t="str"/>
    </x:row>
    <x:row r="29" ht="72" customHeight="1">
      <x:c r="A29" s="35" t="str">
        <x:v>P2</x:v>
      </x:c>
      <x:c r="B29" s="37" t="str">
        <x:v>Alertes</x:v>
      </x:c>
      <x:c r="C29" s="29" t="str">
        <x:v>Les seuils de stock sont principalement globaux.</x:v>
      </x:c>
      <x:c r="D29" s="29" t="str">
        <x:v>Un produit peut être suffisant au total mais manquer dans un site précis.</x:v>
      </x:c>
      <x:c r="E29" s="29" t="str">
        <x:v>Définir des seuils minimum, cible et maximum par site, avec unité et délai fournisseur.</x:v>
      </x:c>
      <x:c r="F29" s="29" t="str">
        <x:v>Les alertes reflètent le besoin local réel.</x:v>
      </x:c>
      <x:c r="G29" s="43" t="str">
        <x:v>À faire</x:v>
      </x:c>
      <x:c r="H29" s="45" t="str"/>
      <x:c r="I29" s="47"/>
      <x:c r="J29" s="29" t="str"/>
    </x:row>
    <x:row r="30" ht="72" customHeight="1">
      <x:c r="A30" s="35" t="str">
        <x:v>P2</x:v>
      </x:c>
      <x:c r="B30" s="37" t="str">
        <x:v>Inventaires tournants</x:v>
      </x:c>
      <x:c r="C30" s="29" t="str">
        <x:v>L’inventaire est surtout pensé comme une opération complète.</x:v>
      </x:c>
      <x:c r="D30" s="29" t="str">
        <x:v>Les établissements reportent le comptage car il est trop lourd.</x:v>
      </x:c>
      <x:c r="E30" s="29" t="str">
        <x:v>Permettre des inventaires tournants par zone, famille, criticité ou liste de produits.</x:v>
      </x:c>
      <x:c r="F30" s="29" t="str">
        <x:v>Le stock est contrôlé plus souvent avec moins d’effort.</x:v>
      </x:c>
      <x:c r="G30" s="43" t="str">
        <x:v>À faire</x:v>
      </x:c>
      <x:c r="H30" s="45" t="str"/>
      <x:c r="I30" s="47"/>
      <x:c r="J30" s="29" t="str"/>
    </x:row>
    <x:row r="31" ht="72" customHeight="1">
      <x:c r="A31" s="35" t="str">
        <x:v>P2</x:v>
      </x:c>
      <x:c r="B31" s="37" t="str">
        <x:v>Disponibilité</x:v>
      </x:c>
      <x:c r="C31" s="29" t="str">
        <x:v>La distinction entre stock physique, réservé et disponible n’est pas partout visible.</x:v>
      </x:c>
      <x:c r="D31" s="29" t="str">
        <x:v>Les utilisateurs prennent des décisions sur une quantité qui n’est pas réellement libre.</x:v>
      </x:c>
      <x:c r="E31" s="29" t="str">
        <x:v>Afficher systématiquement les trois valeurs dans les fiches, listes, alertes et formulaires de sortie.</x:v>
      </x:c>
      <x:c r="F31" s="29" t="str">
        <x:v>La quantité réellement utilisable est évidente.</x:v>
      </x:c>
      <x:c r="G31" s="43" t="str">
        <x:v>À faire</x:v>
      </x:c>
      <x:c r="H31" s="45" t="str"/>
      <x:c r="I31" s="47"/>
      <x:c r="J31" s="29" t="str"/>
    </x:row>
    <x:row r="32" ht="72" customHeight="1">
      <x:c r="A32" s="35" t="str">
        <x:v>P2</x:v>
      </x:c>
      <x:c r="B32" s="37" t="str">
        <x:v>Pertes</x:v>
      </x:c>
      <x:c r="C32" s="29" t="str">
        <x:v>Les pertes sont enregistrables mais peu analysées.</x:v>
      </x:c>
      <x:c r="D32" s="29" t="str">
        <x:v>Les causes récurrentes de gaspillage restent invisibles.</x:v>
      </x:c>
      <x:c r="E32" s="29" t="str">
        <x:v>Structurer les motifs (casse, péremption, surproduction, erreur, qualité) et créer une analyse par produit, site, équipe, période et valeur.</x:v>
      </x:c>
      <x:c r="F32" s="29" t="str">
        <x:v>Le chef peut réduire le gaspillage à partir de faits.</x:v>
      </x:c>
      <x:c r="G32" s="43" t="str">
        <x:v>À faire</x:v>
      </x:c>
      <x:c r="H32" s="45" t="str"/>
      <x:c r="I32" s="47"/>
      <x:c r="J32" s="29" t="str"/>
    </x:row>
    <x:row r="33" ht="72" customHeight="1">
      <x:c r="A33" s="35" t="str">
        <x:v>P2</x:v>
      </x:c>
      <x:c r="B33" s="37" t="str">
        <x:v>Résilience</x:v>
      </x:c>
      <x:c r="C33" s="29" t="str">
        <x:v>Aucun outil opérationnel clair ne permet de reconstruire la projection de stock depuis le journal des mouvements.</x:v>
      </x:c>
      <x:c r="D33" s="29" t="str">
        <x:v>Une corruption ou un écart technique est difficile à diagnostiquer et corriger.</x:v>
      </x:c>
      <x:c r="E33" s="29" t="str">
        <x:v>Ajouter une commande d’audit et de reconstruction, d’abord en simulation, puis exécutable avec permission et rapport des écarts.</x:v>
      </x:c>
      <x:c r="F33" s="29" t="str">
        <x:v>Le stock projeté peut être vérifié et réparé de façon contrôlée.</x:v>
      </x:c>
      <x:c r="G33" s="43" t="str">
        <x:v>À faire</x:v>
      </x:c>
      <x:c r="H33" s="45" t="str"/>
      <x:c r="I33" s="47"/>
      <x:c r="J33" s="29" t="str"/>
    </x:row>
    <x:row r="34" ht="72" customHeight="1">
      <x:c r="A34" s="35" t="str">
        <x:v>P2</x:v>
      </x:c>
      <x:c r="B34" s="37" t="str">
        <x:v>Mobilité</x:v>
      </x:c>
      <x:c r="C34" s="29" t="str">
        <x:v>La saisie repose surtout sur la recherche manuelle.</x:v>
      </x:c>
      <x:c r="D34" s="29" t="str">
        <x:v>Les réceptions, inventaires et transferts sont plus lents et plus sujets aux erreurs.</x:v>
      </x:c>
      <x:c r="E34" s="29" t="str">
        <x:v>Ajouter le scan code-barres ou QR pour identifier produit, lot et emplacement sur téléphone ou tablette.</x:v>
      </x:c>
      <x:c r="F34" s="29" t="str">
        <x:v>Les opérations terrain deviennent rapides et fiables.</x:v>
      </x:c>
      <x:c r="G34" s="43" t="str">
        <x:v>À faire</x:v>
      </x:c>
      <x:c r="H34" s="45" t="str"/>
      <x:c r="I34" s="47"/>
      <x:c r="J34" s="29" t="str"/>
    </x:row>
  </x:sheetData>
  <x:mergeCells>
    <x:mergeCell ref="A1:J1"/>
    <x:mergeCell ref="A2:J2"/>
    <x:mergeCell ref="A3:J3"/>
  </x:mergeCells>
  <x:conditionalFormatting sqref="A5:A34">
    <x:cfRule type="cellIs" dxfId="0" priority="1" operator="equal">
      <x:formula>"P0"</x:formula>
    </x:cfRule>
    <x:cfRule type="cellIs" dxfId="1" priority="2" operator="equal">
      <x:formula>"P1"</x:formula>
    </x:cfRule>
    <x:cfRule type="cellIs" dxfId="2" priority="3" operator="equal">
      <x:formula>"P2"</x:formula>
    </x:cfRule>
  </x:conditionalFormatting>
  <x:conditionalFormatting sqref="G5:G34">
    <x:cfRule type="cellIs" dxfId="3" priority="4" operator="equal">
      <x:formula>"Terminé"</x:formula>
    </x:cfRule>
    <x:cfRule type="cellIs" dxfId="4" priority="5" operator="equal">
      <x:formula>"En cours"</x:formula>
    </x:cfRule>
    <x:cfRule type="cellIs" dxfId="5" priority="6" operator="equal">
      <x:formula>"Bloqué"</x:formula>
    </x:cfRule>
  </x:conditionalFormatting>
  <x:dataValidations count="1">
    <x:dataValidation type="list" sqref="G5:G34">
      <x:formula1>"À faire,En cours,Bloqué,Terminé"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d0a16eda3843ba"/>
  </x:tableParts>
</x:worksheet>
</file>