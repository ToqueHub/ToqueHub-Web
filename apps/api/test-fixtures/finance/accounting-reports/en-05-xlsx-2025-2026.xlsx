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96c52f7b6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0c99de14e098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 [$€-1]"/>
    <x:numFmt numFmtId="201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1dc37e75245cb" /><Relationship Type="http://schemas.openxmlformats.org/officeDocument/2006/relationships/theme" Target="/xl/theme/theme1.xml" Id="Rcdd40a972f7d4e8d" /><Relationship Type="http://schemas.openxmlformats.org/officeDocument/2006/relationships/sharedStrings" Target="/xl/sharedStrings.xml" Id="R3ee9ce5d0da34732" /><Relationship Type="http://schemas.openxmlformats.org/officeDocument/2006/relationships/worksheet" Target="/xl/worksheets/sheet1.xml" Id="R0c99de14e098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Income statement — Harbour Kitchens plc</x:v>
      </x:c>
      <x:c r="B1" s="39"/>
      <x:c r="C1" s="39"/>
      <x:c r="D1" s="39"/>
    </x:row>
    <x:row r="2">
      <x:c r="A2" s="40" t="str">
        <x:v>Financial year</x:v>
      </x:c>
      <x:c r="B2" s="40" t="str">
        <x:v>2025-07-01 — 2026-06-30</x:v>
      </x:c>
      <x:c r="C2" s="40"/>
      <x:c r="D2" s="40"/>
    </x:row>
    <x:row r="3">
      <x:c r="A3" s="40" t="str">
        <x:v>Currency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1104585-5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Account</x:v>
      </x:c>
      <x:c r="B6" s="41" t="str">
        <x:v>Description</x:v>
      </x:c>
      <x:c r="C6" s="41" t="str">
        <x:v>Amount</x:v>
      </x:c>
      <x:c r="D6" s="41" t="str">
        <x:v>% of revenue</x:v>
      </x:c>
    </x:row>
    <x:row r="7">
      <x:c r="A7" s="42" t="str">
        <x:v>3000</x:v>
      </x:c>
      <x:c r="B7" s="43" t="str">
        <x:v>Net revenue</x:v>
      </x:c>
      <x:c r="C7" s="44" t="n">
        <x:v>2724000</x:v>
      </x:c>
      <x:c r="D7" s="45" t="n">
        <x:f>C7/$C$7</x:f>
        <x:v>1</x:v>
      </x:c>
    </x:row>
    <x:row r="8">
      <x:c r="A8" s="42" t="str">
        <x:v>4000</x:v>
      </x:c>
      <x:c r="B8" s="43" t="str">
        <x:v>Raw material purchases</x:v>
      </x:c>
      <x:c r="C8" s="44" t="n">
        <x:v>833544</x:v>
      </x:c>
      <x:c r="D8" s="45" t="n">
        <x:f>C8/$C$7</x:f>
        <x:v>0.306</x:v>
      </x:c>
    </x:row>
    <x:row r="9">
      <x:c r="A9" s="42" t="str">
        <x:v>5000</x:v>
      </x:c>
      <x:c r="B9" s="43" t="str">
        <x:v>Payroll and social costs</x:v>
      </x:c>
      <x:c r="C9" s="44" t="n">
        <x:v>822648</x:v>
      </x:c>
      <x:c r="D9" s="45" t="n">
        <x:f>C9/$C$7</x:f>
        <x:v>0.302</x:v>
      </x:c>
    </x:row>
    <x:row r="10">
      <x:c r="A10" s="42" t="str">
        <x:v>6100</x:v>
      </x:c>
      <x:c r="B10" s="43" t="str">
        <x:v>Rent and occupancy costs</x:v>
      </x:c>
      <x:c r="C10" s="44" t="n">
        <x:v>186321.6</x:v>
      </x:c>
      <x:c r="D10" s="45" t="n">
        <x:f>C10/$C$7</x:f>
        <x:v>0.0684</x:v>
      </x:c>
    </x:row>
    <x:row r="11">
      <x:c r="A11" s="42" t="str">
        <x:v>6200</x:v>
      </x:c>
      <x:c r="B11" s="43" t="str">
        <x:v>Utilities and energy</x:v>
      </x:c>
      <x:c r="C11" s="44" t="n">
        <x:v>98064</x:v>
      </x:c>
      <x:c r="D11" s="45" t="n">
        <x:f>C11/$C$7</x:f>
        <x:v>0.036</x:v>
      </x:c>
    </x:row>
    <x:row r="12">
      <x:c r="A12" s="42" t="str">
        <x:v>6300</x:v>
      </x:c>
      <x:c r="B12" s="43" t="str">
        <x:v>Marketing and advertising</x:v>
      </x:c>
      <x:c r="C12" s="44" t="n">
        <x:v>78451.2</x:v>
      </x:c>
      <x:c r="D12" s="45" t="n">
        <x:f>C12/$C$7</x:f>
        <x:v>0.0288</x:v>
      </x:c>
    </x:row>
    <x:row r="13">
      <x:c r="A13" s="42" t="str">
        <x:v>6500</x:v>
      </x:c>
      <x:c r="B13" s="43" t="str">
        <x:v>Other operating expenses</x:v>
      </x:c>
      <x:c r="C13" s="44" t="n">
        <x:v>127483.2</x:v>
      </x:c>
      <x:c r="D13" s="45" t="n">
        <x:f>C13/$C$7</x:f>
        <x:v>0.0468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Operating profit</x:v>
      </x:c>
      <x:c r="C15" s="47" t="n">
        <x:f>C7-SUM(C8:C13)</x:f>
        <x:v>577488</x:v>
      </x:c>
      <x:c r="D15" s="48" t="n">
        <x:f>C15/$C$7</x:f>
        <x:v>0.212</x:v>
      </x:c>
    </x:row>
    <x:row r="16">
      <x:c r="A16" s="42" t="str">
        <x:v>7000</x:v>
      </x:c>
      <x:c r="B16" s="43" t="str">
        <x:v>Finance costs</x:v>
      </x:c>
      <x:c r="C16" s="44" t="n">
        <x:v>35412</x:v>
      </x:c>
      <x:c r="D16" s="45" t="n">
        <x:f>C16/$C$7</x:f>
        <x:v>0.013</x:v>
      </x:c>
    </x:row>
    <x:row r="17">
      <x:c r="A17" s="42" t="str">
        <x:v>8000</x:v>
      </x:c>
      <x:c r="B17" s="43" t="str">
        <x:v>Income tax expense</x:v>
      </x:c>
      <x:c r="C17" s="44" t="n">
        <x:v>102994.44</x:v>
      </x:c>
      <x:c r="D17" s="45" t="n">
        <x:f>C17/$C$7</x:f>
        <x:v>0.03781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Net profit</x:v>
      </x:c>
      <x:c r="C19" s="50" t="n">
        <x:f>C15-C16-C17</x:f>
        <x:v>439081.56</x:v>
      </x:c>
      <x:c r="D19" s="51" t="n">
        <x:f>C19/$C$7</x:f>
        <x:v>0.16119</x:v>
      </x:c>
    </x:row>
  </x:sheetData>
  <x:mergeCells>
    <x:mergeCell ref="A1:D1"/>
  </x:mergeCells>
  <x:pageMargins left="0.7" right="0.7" top="0.75" bottom="0.75" header="0.3" footer="0.3"/>
</x:worksheet>
</file>