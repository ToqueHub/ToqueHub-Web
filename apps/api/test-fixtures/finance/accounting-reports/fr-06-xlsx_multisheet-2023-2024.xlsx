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e25c73386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te de résultat" sheetId="1" r:id="R1a547b2af29f4fad"/>
    <x:sheet xmlns:r="http://schemas.openxmlformats.org/officeDocument/2006/relationships" name="Détails mensuels" sheetId="2" r:id="R4a29e6c8fdf44379"/>
    <x:sheet xmlns:r="http://schemas.openxmlformats.org/officeDocument/2006/relationships" name="Contrôles" sheetId="3" r:id="R4c1e140bb347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[$€-1]"/>
    <x:numFmt numFmtId="201" formatCode="0.0%"/>
    <x:numFmt numFmtId="202" formatCode="mmm yyyy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64748B"/>
      <x:name val="Carlito"/>
    </x:font>
    <x:font>
      <x:sz val="11"/>
      <x:color rgb="FF10233F"/>
      <x:name val="Carlito"/>
    </x:font>
    <x:font>
      <x:b/>
      <x:sz val="11"/>
      <x:color rgb="FF10233F"/>
      <x:name val="Carlito"/>
    </x:font>
    <x:font>
      <x:b/>
      <x:sz val="11"/>
      <x:color rgb="FFB423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0F766E"/>
      </x:patternFill>
    </x:fill>
    <x:fill>
      <x:patternFill patternType="solid">
        <x:fgColor rgb="FFDDF7EF"/>
      </x:patternFill>
    </x:fill>
  </x:fills>
  <x:borders count="4">
    <x:border/>
    <x:border>
      <x:bottom style="thin">
        <x:color rgb="FFD8E2EC"/>
      </x:bottom>
    </x:border>
    <x:border>
      <x:top style="medium">
        <x:color rgb="FF0F766E"/>
      </x:top>
      <x:bottom style="thin">
        <x:color rgb="FFD8E2EC"/>
      </x:bottom>
    </x:border>
    <x:border>
      <x:top style="medium">
        <x:color rgb="FF10233F"/>
      </x:top>
      <x:bottom style="thin">
        <x:color rgb="FFD8E2EC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200" fontId="0" fillId="2" borderId="1" xfId="0" applyNumberFormat="1" applyFont="1" applyFill="1" applyBorder="1"/>
    <x:xf numFmtId="201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/>
    <x:xf numFmtId="201" fontId="2" fillId="2" borderId="1" xfId="0" applyNumberFormat="1" applyFont="1" applyFill="1" applyBorder="1"/>
    <x:xf numFmtId="0" fontId="2" fillId="2" borderId="3" xfId="0" applyNumberFormat="1" applyFont="1" applyFill="1" applyBorder="1"/>
    <x:xf numFmtId="200" fontId="2" fillId="2" borderId="3" xfId="0" applyNumberFormat="1" applyFont="1" applyFill="1" applyBorder="1"/>
    <x:xf numFmtId="201" fontId="2" fillId="2" borderId="3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200" fontId="5" fillId="4" borderId="2" xfId="0" applyNumberFormat="1" applyFont="1" applyFill="1" applyBorder="1" applyAlignment="1">
      <x:alignment wrapText="1"/>
    </x:xf>
    <x:xf numFmtId="201" fontId="5" fillId="4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2" fillId="2" borderId="3" xfId="0" applyNumberFormat="1" applyFont="1" applyFill="1" applyBorder="1" applyAlignment="1">
      <x:alignment wrapText="1"/>
    </x:xf>
    <x:xf numFmtId="201" fontId="2" fillId="2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2" fontId="0" fillId="0" borderId="0" xfId="0" applyNumberFormat="1" applyFont="1" applyFill="1" applyBorder="1"/>
    <x:xf numFmtId="200" fontId="2" fillId="2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d2b4c64994dcf" /><Relationship Type="http://schemas.openxmlformats.org/officeDocument/2006/relationships/theme" Target="/xl/theme/theme1.xml" Id="R7f723467b9bc48c0" /><Relationship Type="http://schemas.openxmlformats.org/officeDocument/2006/relationships/sharedStrings" Target="/xl/sharedStrings.xml" Id="Rc2e9b1e6d6664ce6" /><Relationship Type="http://schemas.openxmlformats.org/officeDocument/2006/relationships/worksheet" Target="/xl/worksheets/sheet1.xml" Id="R1a547b2af29f4fad" /><Relationship Type="http://schemas.openxmlformats.org/officeDocument/2006/relationships/worksheet" Target="/xl/worksheets/sheet2.xml" Id="R4a29e6c8fdf44379" /><Relationship Type="http://schemas.openxmlformats.org/officeDocument/2006/relationships/worksheet" Target="/xl/worksheets/sheet3.xml" Id="R4c1e140bb34740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19" hidden="0" customWidth="1"/>
    <x:col min="4" max="4" width="18" hidden="0" customWidth="1"/>
  </x:cols>
  <x:sheetData>
    <x:row r="1" ht="32" customHeight="1">
      <x:c r="A1" s="39" t="str">
        <x:v>Compte de résultat — Groupe Horizon SA</x:v>
      </x:c>
      <x:c r="B1" s="39"/>
      <x:c r="C1" s="39"/>
      <x:c r="D1" s="39"/>
    </x:row>
    <x:row r="2">
      <x:c r="A2" s="40" t="str">
        <x:v>Exercice</x:v>
      </x:c>
      <x:c r="B2" s="40" t="str">
        <x:v>2023-07-01 — 2024-06-30</x:v>
      </x:c>
      <x:c r="C2" s="40"/>
      <x:c r="D2" s="40"/>
    </x:row>
    <x:row r="3">
      <x:c r="A3" s="40" t="str">
        <x:v>Devise</x:v>
      </x:c>
      <x:c r="B3" s="40" t="str">
        <x:v>EUR</x:v>
      </x:c>
      <x:c r="C3" s="40"/>
      <x:c r="D3" s="40"/>
    </x:row>
    <x:row r="4">
      <x:c r="A4" s="40" t="str">
        <x:v>Business ID</x:v>
      </x:c>
      <x:c r="B4" s="40" t="str">
        <x:v>1005502-6</x:v>
      </x:c>
      <x:c r="C4" s="40"/>
      <x:c r="D4" s="40"/>
    </x:row>
    <x:row r="5">
      <x:c r="A5" s="40" t="str">
        <x:v>Synthetic QA corpus</x:v>
      </x:c>
      <x:c r="B5" s="40" t="str">
        <x:v>ToqueHub Finance OCR · v1</x:v>
      </x:c>
      <x:c r="C5" s="40"/>
      <x:c r="D5" s="40"/>
    </x:row>
    <x:row r="6" ht="24" customHeight="1">
      <x:c r="A6" s="41" t="str">
        <x:v>Compte</x:v>
      </x:c>
      <x:c r="B6" s="41" t="str">
        <x:v>Libellé</x:v>
      </x:c>
      <x:c r="C6" s="41" t="str">
        <x:v>Montant</x:v>
      </x:c>
      <x:c r="D6" s="41" t="str">
        <x:v>% du CA</x:v>
      </x:c>
    </x:row>
    <x:row r="7">
      <x:c r="A7" s="42" t="str">
        <x:v>3000</x:v>
      </x:c>
      <x:c r="B7" s="43" t="str">
        <x:v>Chiffre d'affaires</x:v>
      </x:c>
      <x:c r="C7" s="44" t="n">
        <x:v>2587200</x:v>
      </x:c>
      <x:c r="D7" s="45" t="n">
        <x:f>C7/$C$7</x:f>
        <x:v>1</x:v>
      </x:c>
    </x:row>
    <x:row r="8">
      <x:c r="A8" s="42" t="str">
        <x:v>4000</x:v>
      </x:c>
      <x:c r="B8" s="43" t="str">
        <x:v>Achats de matières premières</x:v>
      </x:c>
      <x:c r="C8" s="44" t="n">
        <x:v>698544</x:v>
      </x:c>
      <x:c r="D8" s="45" t="n">
        <x:f>C8/$C$7</x:f>
        <x:v>0.27</x:v>
      </x:c>
    </x:row>
    <x:row r="9">
      <x:c r="A9" s="42" t="str">
        <x:v>5000</x:v>
      </x:c>
      <x:c r="B9" s="43" t="str">
        <x:v>Salaires et charges sociales</x:v>
      </x:c>
      <x:c r="C9" s="44" t="n">
        <x:v>812380.8</x:v>
      </x:c>
      <x:c r="D9" s="45" t="n">
        <x:f>C9/$C$7</x:f>
        <x:v>0.314</x:v>
      </x:c>
    </x:row>
    <x:row r="10">
      <x:c r="A10" s="42" t="str">
        <x:v>6100</x:v>
      </x:c>
      <x:c r="B10" s="43" t="str">
        <x:v>Loyers et charges locatives</x:v>
      </x:c>
      <x:c r="C10" s="44" t="n">
        <x:v>156318.62</x:v>
      </x:c>
      <x:c r="D10" s="45" t="n">
        <x:f>C10/$C$7</x:f>
        <x:v>0.060419998453927024</x:v>
      </x:c>
    </x:row>
    <x:row r="11">
      <x:c r="A11" s="42" t="str">
        <x:v>6200</x:v>
      </x:c>
      <x:c r="B11" s="43" t="str">
        <x:v>Énergie et services</x:v>
      </x:c>
      <x:c r="C11" s="44" t="n">
        <x:v>82272.96</x:v>
      </x:c>
      <x:c r="D11" s="45" t="n">
        <x:f>C11/$C$7</x:f>
        <x:v>0.0318</x:v>
      </x:c>
    </x:row>
    <x:row r="12">
      <x:c r="A12" s="42" t="str">
        <x:v>6300</x:v>
      </x:c>
      <x:c r="B12" s="43" t="str">
        <x:v>Marketing et communication</x:v>
      </x:c>
      <x:c r="C12" s="44" t="n">
        <x:v>65818.37</x:v>
      </x:c>
      <x:c r="D12" s="45" t="n">
        <x:f>C12/$C$7</x:f>
        <x:v>0.025440000773036486</x:v>
      </x:c>
    </x:row>
    <x:row r="13">
      <x:c r="A13" s="42" t="str">
        <x:v>6500</x:v>
      </x:c>
      <x:c r="B13" s="43" t="str">
        <x:v>Autres charges d'exploitation</x:v>
      </x:c>
      <x:c r="C13" s="44" t="n">
        <x:v>106954.85</x:v>
      </x:c>
      <x:c r="D13" s="45" t="n">
        <x:f>C13/$C$7</x:f>
        <x:v>0.04134000077303649</x:v>
      </x:c>
    </x:row>
    <x:row r="14">
      <x:c r="A14" s="42" t="str"/>
      <x:c r="B14" s="43" t="str"/>
      <x:c r="C14" s="44"/>
      <x:c r="D14" s="45" t="n">
        <x:f>C14/$C$7</x:f>
        <x:v>0</x:v>
      </x:c>
    </x:row>
    <x:row r="15">
      <x:c r="A15" s="46" t="str">
        <x:v>6990</x:v>
      </x:c>
      <x:c r="B15" s="46" t="str">
        <x:v>Résultat d'exploitation</x:v>
      </x:c>
      <x:c r="C15" s="47" t="n">
        <x:f>C7-SUM(C8:C13)</x:f>
        <x:v>664910.3999999999</x:v>
      </x:c>
      <x:c r="D15" s="48" t="n">
        <x:f>C15/$C$7</x:f>
        <x:v>0.25699999999999995</x:v>
      </x:c>
    </x:row>
    <x:row r="16">
      <x:c r="A16" s="42" t="str">
        <x:v>7000</x:v>
      </x:c>
      <x:c r="B16" s="43" t="str">
        <x:v>Charges financières</x:v>
      </x:c>
      <x:c r="C16" s="44" t="n">
        <x:v>23284.8</x:v>
      </x:c>
      <x:c r="D16" s="45" t="n">
        <x:f>C16/$C$7</x:f>
        <x:v>0.009</x:v>
      </x:c>
    </x:row>
    <x:row r="17">
      <x:c r="A17" s="42" t="str">
        <x:v>8000</x:v>
      </x:c>
      <x:c r="B17" s="43" t="str">
        <x:v>Impôts sur le résultat</x:v>
      </x:c>
      <x:c r="C17" s="44" t="n">
        <x:v>115492.61</x:v>
      </x:c>
      <x:c r="D17" s="45" t="n">
        <x:f>C17/$C$7</x:f>
        <x:v>0.04464000077303649</x:v>
      </x:c>
    </x:row>
    <x:row r="18">
      <x:c r="A18" s="42" t="str"/>
      <x:c r="B18" s="43" t="str"/>
      <x:c r="C18" s="44"/>
      <x:c r="D18" s="45" t="n">
        <x:f>C18/$C$7</x:f>
        <x:v>0</x:v>
      </x:c>
    </x:row>
    <x:row r="19">
      <x:c r="A19" s="49" t="str">
        <x:v>8990</x:v>
      </x:c>
      <x:c r="B19" s="49" t="str">
        <x:v>Résultat net</x:v>
      </x:c>
      <x:c r="C19" s="50" t="n">
        <x:f>C15-C16-C17</x:f>
        <x:v>526132.9899999999</x:v>
      </x:c>
      <x:c r="D19" s="51" t="n">
        <x:f>C19/$C$7</x:f>
        <x:v>0.20335999922696346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6" t="str">
        <x:v>Mois</x:v>
      </x:c>
      <x:c r="B1" s="6" t="str">
        <x:v>CA mensuel</x:v>
      </x:c>
      <x:c r="C1" s="6" t="str">
        <x:v>Charges mensuelles</x:v>
      </x:c>
      <x:c r="D1" s="6" t="str">
        <x:v>Résultat mensuel</x:v>
      </x:c>
    </x:row>
    <x:row r="2">
      <x:c r="A2" s="53" t="n">
        <x:v>45108</x:v>
      </x:c>
      <x:c r="B2" s="15" t="n">
        <x:v>163856</x:v>
      </x:c>
      <x:c r="C2" s="15" t="n">
        <x:v>121745.01</x:v>
      </x:c>
      <x:c r="D2" s="15" t="n">
        <x:f>B2-C2</x:f>
        <x:v>42110.990000000005</x:v>
      </x:c>
    </x:row>
    <x:row r="3">
      <x:c r="A3" s="53" t="n">
        <x:v>45139</x:v>
      </x:c>
      <x:c r="B3" s="15" t="n">
        <x:v>254408</x:v>
      </x:c>
      <x:c r="C3" s="15" t="n">
        <x:v>189025.14</x:v>
      </x:c>
      <x:c r="D3" s="15" t="n">
        <x:f>B3-C3</x:f>
        <x:v>65382.859999999986</x:v>
      </x:c>
    </x:row>
    <x:row r="4">
      <x:c r="A4" s="53" t="n">
        <x:v>45170</x:v>
      </x:c>
      <x:c r="B4" s="15" t="n">
        <x:v>228536</x:v>
      </x:c>
      <x:c r="C4" s="15" t="n">
        <x:v>169802.25</x:v>
      </x:c>
      <x:c r="D4" s="15" t="n">
        <x:f>B4-C4</x:f>
        <x:v>58733.75</x:v>
      </x:c>
    </x:row>
    <x:row r="5">
      <x:c r="A5" s="53" t="n">
        <x:v>45200</x:v>
      </x:c>
      <x:c r="B5" s="15" t="n">
        <x:v>202664</x:v>
      </x:c>
      <x:c r="C5" s="15" t="n">
        <x:v>150579.35</x:v>
      </x:c>
      <x:c r="D5" s="15" t="n">
        <x:f>B5-C5</x:f>
        <x:v>52084.649999999994</x:v>
      </x:c>
    </x:row>
    <x:row r="6">
      <x:c r="A6" s="53" t="n">
        <x:v>45231</x:v>
      </x:c>
      <x:c r="B6" s="15" t="n">
        <x:v>176792</x:v>
      </x:c>
      <x:c r="C6" s="15" t="n">
        <x:v>131356.46</x:v>
      </x:c>
      <x:c r="D6" s="15" t="n">
        <x:f>B6-C6</x:f>
        <x:v>45435.54000000001</x:v>
      </x:c>
    </x:row>
    <x:row r="7">
      <x:c r="A7" s="53" t="n">
        <x:v>45261</x:v>
      </x:c>
      <x:c r="B7" s="15" t="n">
        <x:v>267344</x:v>
      </x:c>
      <x:c r="C7" s="15" t="n">
        <x:v>198636.59</x:v>
      </x:c>
      <x:c r="D7" s="15" t="n">
        <x:f>B7-C7</x:f>
        <x:v>68707.41</x:v>
      </x:c>
    </x:row>
    <x:row r="8">
      <x:c r="A8" s="53" t="n">
        <x:v>45292</x:v>
      </x:c>
      <x:c r="B8" s="15" t="n">
        <x:v>241472</x:v>
      </x:c>
      <x:c r="C8" s="15" t="n">
        <x:v>179413.7</x:v>
      </x:c>
      <x:c r="D8" s="15" t="n">
        <x:f>B8-C8</x:f>
        <x:v>62058.29999999999</x:v>
      </x:c>
    </x:row>
    <x:row r="9">
      <x:c r="A9" s="53" t="n">
        <x:v>45323</x:v>
      </x:c>
      <x:c r="B9" s="15" t="n">
        <x:v>215600</x:v>
      </x:c>
      <x:c r="C9" s="15" t="n">
        <x:v>160190.8</x:v>
      </x:c>
      <x:c r="D9" s="15" t="n">
        <x:f>B9-C9</x:f>
        <x:v>55409.20000000001</x:v>
      </x:c>
    </x:row>
    <x:row r="10">
      <x:c r="A10" s="53" t="n">
        <x:v>45352</x:v>
      </x:c>
      <x:c r="B10" s="15" t="n">
        <x:v>189728</x:v>
      </x:c>
      <x:c r="C10" s="15" t="n">
        <x:v>140967.9</x:v>
      </x:c>
      <x:c r="D10" s="15" t="n">
        <x:f>B10-C10</x:f>
        <x:v>48760.100000000006</x:v>
      </x:c>
    </x:row>
    <x:row r="11">
      <x:c r="A11" s="53" t="n">
        <x:v>45383</x:v>
      </x:c>
      <x:c r="B11" s="15" t="n">
        <x:v>163856</x:v>
      </x:c>
      <x:c r="C11" s="15" t="n">
        <x:v>121745.01</x:v>
      </x:c>
      <x:c r="D11" s="15" t="n">
        <x:f>B11-C11</x:f>
        <x:v>42110.990000000005</x:v>
      </x:c>
    </x:row>
    <x:row r="12">
      <x:c r="A12" s="53" t="n">
        <x:v>45413</x:v>
      </x:c>
      <x:c r="B12" s="15" t="n">
        <x:v>254408</x:v>
      </x:c>
      <x:c r="C12" s="15" t="n">
        <x:v>189025.14</x:v>
      </x:c>
      <x:c r="D12" s="15" t="n">
        <x:f>B12-C12</x:f>
        <x:v>65382.859999999986</x:v>
      </x:c>
    </x:row>
    <x:row r="13">
      <x:c r="A13" s="53" t="n">
        <x:v>45444</x:v>
      </x:c>
      <x:c r="B13" s="15" t="n">
        <x:v>228536</x:v>
      </x:c>
      <x:c r="C13" s="15" t="n">
        <x:v>169802.25</x:v>
      </x:c>
      <x:c r="D13" s="15" t="n">
        <x:f>B13-C13</x:f>
        <x:v>58733.75</x:v>
      </x:c>
    </x:row>
    <x:row r="14">
      <x:c r="A14" s="33" t="str">
        <x:v>Contrôle annuel</x:v>
      </x:c>
      <x:c r="B14" s="34" t="n">
        <x:f>SUM(B2:B13)</x:f>
        <x:v>2587200</x:v>
      </x:c>
      <x:c r="C14" s="34" t="n">
        <x:f>SUM(C2:C13)</x:f>
        <x:v>1922289.6</x:v>
      </x:c>
      <x:c r="D14" s="34" t="n">
        <x:f>SUM(D2:D13)</x:f>
        <x:v>664910.3999999999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Contrôle annuel</x:v>
      </x:c>
      <x:c r="B1" s="6" t="str">
        <x:v>Valeur attendue</x:v>
      </x:c>
      <x:c r="C1" s="6" t="str">
        <x:v>Valeur calculée</x:v>
      </x:c>
      <x:c r="D1" s="6" t="str">
        <x:v>Écart</x:v>
      </x:c>
    </x:row>
    <x:row r="2">
      <x:c r="A2" t="str">
        <x:v>Chiffre d'affaires</x:v>
      </x:c>
      <x:c r="B2" s="15" t="n">
        <x:v>2587200</x:v>
      </x:c>
      <x:c r="C2" s="15" t="n">
        <x:f>'Compte de résultat'!C7</x:f>
        <x:v>2587200</x:v>
      </x:c>
      <x:c r="D2" s="55" t="n">
        <x:f>C2-B2</x:f>
        <x:v>0</x:v>
      </x:c>
    </x:row>
    <x:row r="3">
      <x:c r="A3" t="str">
        <x:v>Résultat d'exploitation</x:v>
      </x:c>
      <x:c r="B3" s="15" t="n">
        <x:v>664910.4</x:v>
      </x:c>
      <x:c r="C3" s="15" t="n">
        <x:f>'Compte de résultat'!C15</x:f>
        <x:v>664910.3999999999</x:v>
      </x:c>
      <x:c r="D3" s="55" t="n">
        <x:f>C3-B3</x:f>
        <x:v>-1.1641532182693481e-10</x:v>
      </x:c>
    </x:row>
    <x:row r="4">
      <x:c r="A4" t="str">
        <x:v>Résultat net</x:v>
      </x:c>
      <x:c r="B4" s="15" t="n">
        <x:v>526132.99</x:v>
      </x:c>
      <x:c r="C4" s="15" t="n">
        <x:f>'Compte de résultat'!C19</x:f>
        <x:v>526132.9899999999</x:v>
      </x:c>
      <x:c r="D4" s="55" t="n">
        <x:f>C4-B4</x:f>
        <x:v>-1.1641532182693481e-10</x:v>
      </x:c>
    </x:row>
  </x:sheetData>
  <x:pageMargins left="0.7" right="0.7" top="0.75" bottom="0.75" header="0.3" footer="0.3"/>
</x:worksheet>
</file>