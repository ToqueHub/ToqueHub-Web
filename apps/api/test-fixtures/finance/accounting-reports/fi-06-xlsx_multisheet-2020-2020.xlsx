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ded7da3cf342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uloslaskelma" sheetId="1" r:id="Re2e08c14d06f421b"/>
    <x:sheet xmlns:r="http://schemas.openxmlformats.org/officeDocument/2006/relationships" name="Kuukausierittely" sheetId="2" r:id="R454f6e9ce5834c2d"/>
    <x:sheet xmlns:r="http://schemas.openxmlformats.org/officeDocument/2006/relationships" name="Tarkistukset" sheetId="3" r:id="R0dd6b52f0bb64c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 [$€-1]"/>
    <x:numFmt numFmtId="201" formatCode="0.0%"/>
    <x:numFmt numFmtId="202" formatCode="mmm yyyy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64748B"/>
      <x:name val="Carlito"/>
    </x:font>
    <x:font>
      <x:sz val="11"/>
      <x:color rgb="FF10233F"/>
      <x:name val="Carlito"/>
    </x:font>
    <x:font>
      <x:b/>
      <x:sz val="11"/>
      <x:color rgb="FF10233F"/>
      <x:name val="Carlito"/>
    </x:font>
    <x:font>
      <x:b/>
      <x:sz val="11"/>
      <x:color rgb="FFB4231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33F"/>
      </x:patternFill>
    </x:fill>
    <x:fill>
      <x:patternFill patternType="solid">
        <x:fgColor rgb="FF0F766E"/>
      </x:patternFill>
    </x:fill>
    <x:fill>
      <x:patternFill patternType="solid">
        <x:fgColor rgb="FFDDF7EF"/>
      </x:patternFill>
    </x:fill>
  </x:fills>
  <x:borders count="4">
    <x:border/>
    <x:border>
      <x:bottom style="thin">
        <x:color rgb="FFD8E2EC"/>
      </x:bottom>
    </x:border>
    <x:border>
      <x:top style="medium">
        <x:color rgb="FF0F766E"/>
      </x:top>
      <x:bottom style="thin">
        <x:color rgb="FFD8E2EC"/>
      </x:bottom>
    </x:border>
    <x:border>
      <x:top style="medium">
        <x:color rgb="FF10233F"/>
      </x:top>
      <x:bottom style="thin">
        <x:color rgb="FFD8E2EC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4" borderId="0" xfId="0" applyNumberFormat="1" applyFont="1" applyFill="1" applyBorder="1"/>
    <x:xf numFmtId="0" fontId="4" fillId="4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201" fontId="5" fillId="4" borderId="0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201" fontId="5" fillId="4" borderId="2" xfId="0" applyNumberFormat="1" applyFont="1" applyFill="1" applyBorder="1"/>
    <x:xf numFmtId="0" fontId="3" fillId="2" borderId="1" xfId="0" applyNumberFormat="1" applyFont="1" applyFill="1" applyBorder="1"/>
    <x:xf numFmtId="0" fontId="4" fillId="2" borderId="1" xfId="0" applyNumberFormat="1" applyFont="1" applyFill="1" applyBorder="1"/>
    <x:xf numFmtId="200" fontId="0" fillId="2" borderId="1" xfId="0" applyNumberFormat="1" applyFont="1" applyFill="1" applyBorder="1"/>
    <x:xf numFmtId="201" fontId="0" fillId="2" borderId="1" xfId="0" applyNumberFormat="1" applyFont="1" applyFill="1" applyBorder="1"/>
    <x:xf numFmtId="0" fontId="2" fillId="2" borderId="1" xfId="0" applyNumberFormat="1" applyFont="1" applyFill="1" applyBorder="1"/>
    <x:xf numFmtId="200" fontId="2" fillId="2" borderId="1" xfId="0" applyNumberFormat="1" applyFont="1" applyFill="1" applyBorder="1"/>
    <x:xf numFmtId="201" fontId="2" fillId="2" borderId="1" xfId="0" applyNumberFormat="1" applyFont="1" applyFill="1" applyBorder="1"/>
    <x:xf numFmtId="0" fontId="2" fillId="2" borderId="3" xfId="0" applyNumberFormat="1" applyFont="1" applyFill="1" applyBorder="1"/>
    <x:xf numFmtId="200" fontId="2" fillId="2" borderId="3" xfId="0" applyNumberFormat="1" applyFont="1" applyFill="1" applyBorder="1"/>
    <x:xf numFmtId="201" fontId="2" fillId="2" borderId="3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200" fontId="5" fillId="4" borderId="2" xfId="0" applyNumberFormat="1" applyFont="1" applyFill="1" applyBorder="1" applyAlignment="1">
      <x:alignment wrapText="1"/>
    </x:xf>
    <x:xf numFmtId="201" fontId="5" fillId="4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200" fontId="2" fillId="2" borderId="3" xfId="0" applyNumberFormat="1" applyFont="1" applyFill="1" applyBorder="1" applyAlignment="1">
      <x:alignment wrapText="1"/>
    </x:xf>
    <x:xf numFmtId="201" fontId="2" fillId="2" borderId="3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202" fontId="0" fillId="0" borderId="0" xfId="0" applyNumberFormat="1" applyFont="1" applyFill="1" applyBorder="1"/>
    <x:xf numFmtId="200" fontId="2" fillId="2" borderId="0" xfId="0" applyNumberFormat="1" applyFont="1" applyFill="1" applyBorder="1"/>
    <x:xf numFmtId="20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0d60e3bec541db" /><Relationship Type="http://schemas.openxmlformats.org/officeDocument/2006/relationships/theme" Target="/xl/theme/theme1.xml" Id="R13edb9fcc61949c1" /><Relationship Type="http://schemas.openxmlformats.org/officeDocument/2006/relationships/sharedStrings" Target="/xl/sharedStrings.xml" Id="R68508dfd89f34512" /><Relationship Type="http://schemas.openxmlformats.org/officeDocument/2006/relationships/worksheet" Target="/xl/worksheets/sheet1.xml" Id="Re2e08c14d06f421b" /><Relationship Type="http://schemas.openxmlformats.org/officeDocument/2006/relationships/worksheet" Target="/xl/worksheets/sheet2.xml" Id="R454f6e9ce5834c2d" /><Relationship Type="http://schemas.openxmlformats.org/officeDocument/2006/relationships/worksheet" Target="/xl/worksheets/sheet3.xml" Id="R0dd6b52f0bb64c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9" hidden="0" customWidth="1"/>
    <x:col min="3" max="3" width="19" hidden="0" customWidth="1"/>
    <x:col min="4" max="4" width="18" hidden="0" customWidth="1"/>
  </x:cols>
  <x:sheetData>
    <x:row r="1" ht="32" customHeight="1">
      <x:c r="A1" s="39" t="str">
        <x:v>Tuloslaskelma — Suomen Ravintolat Oyj</x:v>
      </x:c>
      <x:c r="B1" s="39"/>
      <x:c r="C1" s="39"/>
      <x:c r="D1" s="39"/>
    </x:row>
    <x:row r="2">
      <x:c r="A2" s="40" t="str">
        <x:v>Tilikausi</x:v>
      </x:c>
      <x:c r="B2" s="40" t="str">
        <x:v>2020-01-01 — 2020-12-31</x:v>
      </x:c>
      <x:c r="C2" s="40"/>
      <x:c r="D2" s="40"/>
    </x:row>
    <x:row r="3">
      <x:c r="A3" s="40" t="str">
        <x:v>Valuutta</x:v>
      </x:c>
      <x:c r="B3" s="40" t="str">
        <x:v>EUR</x:v>
      </x:c>
      <x:c r="C3" s="40"/>
      <x:c r="D3" s="40"/>
    </x:row>
    <x:row r="4">
      <x:c r="A4" s="40" t="str">
        <x:v>Business ID</x:v>
      </x:c>
      <x:c r="B4" s="40" t="str">
        <x:v>1205502-6</x:v>
      </x:c>
      <x:c r="C4" s="40"/>
      <x:c r="D4" s="40"/>
    </x:row>
    <x:row r="5">
      <x:c r="A5" s="40" t="str">
        <x:v>Synthetic QA corpus</x:v>
      </x:c>
      <x:c r="B5" s="40" t="str">
        <x:v>ToqueHub Finance OCR · v1</x:v>
      </x:c>
      <x:c r="C5" s="40"/>
      <x:c r="D5" s="40"/>
    </x:row>
    <x:row r="6" ht="24" customHeight="1">
      <x:c r="A6" s="41" t="str">
        <x:v>Tili</x:v>
      </x:c>
      <x:c r="B6" s="41" t="str">
        <x:v>Selite</x:v>
      </x:c>
      <x:c r="C6" s="41" t="str">
        <x:v>Määrä</x:v>
      </x:c>
      <x:c r="D6" s="41" t="str">
        <x:v>% liikevaihdosta</x:v>
      </x:c>
    </x:row>
    <x:row r="7">
      <x:c r="A7" s="42" t="str">
        <x:v>3000</x:v>
      </x:c>
      <x:c r="B7" s="43" t="str">
        <x:v>Liikevaihto</x:v>
      </x:c>
      <x:c r="C7" s="44" t="n">
        <x:v>2253300000</x:v>
      </x:c>
      <x:c r="D7" s="45" t="n">
        <x:f>C7/$C$7</x:f>
        <x:v>1</x:v>
      </x:c>
    </x:row>
    <x:row r="8">
      <x:c r="A8" s="42" t="str">
        <x:v>4000</x:v>
      </x:c>
      <x:c r="B8" s="43" t="str">
        <x:v>Aine- ja tarvikeostot</x:v>
      </x:c>
      <x:c r="C8" s="44" t="n">
        <x:v>608391000</x:v>
      </x:c>
      <x:c r="D8" s="45" t="n">
        <x:f>C8/$C$7</x:f>
        <x:v>0.27</x:v>
      </x:c>
    </x:row>
    <x:row r="9">
      <x:c r="A9" s="42" t="str">
        <x:v>5000</x:v>
      </x:c>
      <x:c r="B9" s="43" t="str">
        <x:v>Henkilöstökulut ja palkat</x:v>
      </x:c>
      <x:c r="C9" s="44" t="n">
        <x:v>707536200</x:v>
      </x:c>
      <x:c r="D9" s="45" t="n">
        <x:f>C9/$C$7</x:f>
        <x:v>0.314</x:v>
      </x:c>
    </x:row>
    <x:row r="10">
      <x:c r="A10" s="42" t="str">
        <x:v>6100</x:v>
      </x:c>
      <x:c r="B10" s="43" t="str">
        <x:v>Vuokrat ja toimitilakulut</x:v>
      </x:c>
      <x:c r="C10" s="44" t="n">
        <x:v>136144386</x:v>
      </x:c>
      <x:c r="D10" s="45" t="n">
        <x:f>C10/$C$7</x:f>
        <x:v>0.06042</x:v>
      </x:c>
    </x:row>
    <x:row r="11">
      <x:c r="A11" s="42" t="str">
        <x:v>6200</x:v>
      </x:c>
      <x:c r="B11" s="43" t="str">
        <x:v>Energia ja palvelut</x:v>
      </x:c>
      <x:c r="C11" s="44" t="n">
        <x:v>71654940</x:v>
      </x:c>
      <x:c r="D11" s="45" t="n">
        <x:f>C11/$C$7</x:f>
        <x:v>0.0318</x:v>
      </x:c>
    </x:row>
    <x:row r="12">
      <x:c r="A12" s="42" t="str">
        <x:v>6300</x:v>
      </x:c>
      <x:c r="B12" s="43" t="str">
        <x:v>Markkinointi ja mainonta</x:v>
      </x:c>
      <x:c r="C12" s="44" t="n">
        <x:v>57323952</x:v>
      </x:c>
      <x:c r="D12" s="45" t="n">
        <x:f>C12/$C$7</x:f>
        <x:v>0.02544</x:v>
      </x:c>
    </x:row>
    <x:row r="13">
      <x:c r="A13" s="42" t="str">
        <x:v>6500</x:v>
      </x:c>
      <x:c r="B13" s="43" t="str">
        <x:v>Liiketoiminnan muut kulut</x:v>
      </x:c>
      <x:c r="C13" s="44" t="n">
        <x:v>93151422</x:v>
      </x:c>
      <x:c r="D13" s="45" t="n">
        <x:f>C13/$C$7</x:f>
        <x:v>0.04134</x:v>
      </x:c>
    </x:row>
    <x:row r="14">
      <x:c r="A14" s="42" t="str"/>
      <x:c r="B14" s="43" t="str"/>
      <x:c r="C14" s="44"/>
      <x:c r="D14" s="45" t="n">
        <x:f>C14/$C$7</x:f>
        <x:v>0</x:v>
      </x:c>
    </x:row>
    <x:row r="15">
      <x:c r="A15" s="46" t="str">
        <x:v>6990</x:v>
      </x:c>
      <x:c r="B15" s="46" t="str">
        <x:v>Liikevoitto</x:v>
      </x:c>
      <x:c r="C15" s="47" t="n">
        <x:f>C7-SUM(C8:C13)</x:f>
        <x:v>579098100</x:v>
      </x:c>
      <x:c r="D15" s="48" t="n">
        <x:f>C15/$C$7</x:f>
        <x:v>0.257</x:v>
      </x:c>
    </x:row>
    <x:row r="16">
      <x:c r="A16" s="42" t="str">
        <x:v>7000</x:v>
      </x:c>
      <x:c r="B16" s="43" t="str">
        <x:v>Rahoituskulut</x:v>
      </x:c>
      <x:c r="C16" s="44" t="n">
        <x:v>20279700</x:v>
      </x:c>
      <x:c r="D16" s="45" t="n">
        <x:f>C16/$C$7</x:f>
        <x:v>0.009</x:v>
      </x:c>
    </x:row>
    <x:row r="17">
      <x:c r="A17" s="42" t="str">
        <x:v>8000</x:v>
      </x:c>
      <x:c r="B17" s="43" t="str">
        <x:v>Tuloverot</x:v>
      </x:c>
      <x:c r="C17" s="44" t="n">
        <x:v>111763680</x:v>
      </x:c>
      <x:c r="D17" s="45" t="n">
        <x:f>C17/$C$7</x:f>
        <x:v>0.0496</x:v>
      </x:c>
    </x:row>
    <x:row r="18">
      <x:c r="A18" s="42" t="str"/>
      <x:c r="B18" s="43" t="str"/>
      <x:c r="C18" s="44"/>
      <x:c r="D18" s="45" t="n">
        <x:f>C18/$C$7</x:f>
        <x:v>0</x:v>
      </x:c>
    </x:row>
    <x:row r="19">
      <x:c r="A19" s="49" t="str">
        <x:v>8990</x:v>
      </x:c>
      <x:c r="B19" s="49" t="str">
        <x:v>Tilikauden voitto</x:v>
      </x:c>
      <x:c r="C19" s="50" t="n">
        <x:f>C15-C16-C17</x:f>
        <x:v>447054720</x:v>
      </x:c>
      <x:c r="D19" s="51" t="n">
        <x:f>C19/$C$7</x:f>
        <x:v>0.1984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3" hidden="0" customWidth="1"/>
    <x:col min="3" max="3" width="23" hidden="0" customWidth="1"/>
    <x:col min="4" max="4" width="23" hidden="0" customWidth="1"/>
  </x:cols>
  <x:sheetData>
    <x:row r="1">
      <x:c r="A1" s="6" t="str">
        <x:v>Kuukausi</x:v>
      </x:c>
      <x:c r="B1" s="6" t="str">
        <x:v>Kuukauden liikevaihto</x:v>
      </x:c>
      <x:c r="C1" s="6" t="str">
        <x:v>Kuukauden kulut</x:v>
      </x:c>
      <x:c r="D1" s="6" t="str">
        <x:v>Kuukauden tulos</x:v>
      </x:c>
    </x:row>
    <x:row r="2">
      <x:c r="A2" s="53" t="n">
        <x:v>43831</x:v>
      </x:c>
      <x:c r="B2" s="15" t="n">
        <x:v>142709000</x:v>
      </x:c>
      <x:c r="C2" s="15" t="n">
        <x:v>106032787</x:v>
      </x:c>
      <x:c r="D2" s="15" t="n">
        <x:f>B2-C2</x:f>
        <x:v>36676213</x:v>
      </x:c>
    </x:row>
    <x:row r="3">
      <x:c r="A3" s="53" t="n">
        <x:v>43862</x:v>
      </x:c>
      <x:c r="B3" s="15" t="n">
        <x:v>221574500</x:v>
      </x:c>
      <x:c r="C3" s="15" t="n">
        <x:v>164629853.5</x:v>
      </x:c>
      <x:c r="D3" s="15" t="n">
        <x:f>B3-C3</x:f>
        <x:v>56944646.5</x:v>
      </x:c>
    </x:row>
    <x:row r="4">
      <x:c r="A4" s="53" t="n">
        <x:v>43891</x:v>
      </x:c>
      <x:c r="B4" s="15" t="n">
        <x:v>199041500</x:v>
      </x:c>
      <x:c r="C4" s="15" t="n">
        <x:v>147887834.5</x:v>
      </x:c>
      <x:c r="D4" s="15" t="n">
        <x:f>B4-C4</x:f>
        <x:v>51153665.5</x:v>
      </x:c>
    </x:row>
    <x:row r="5">
      <x:c r="A5" s="53" t="n">
        <x:v>43922</x:v>
      </x:c>
      <x:c r="B5" s="15" t="n">
        <x:v>176508500</x:v>
      </x:c>
      <x:c r="C5" s="15" t="n">
        <x:v>131145815.5</x:v>
      </x:c>
      <x:c r="D5" s="15" t="n">
        <x:f>B5-C5</x:f>
        <x:v>45362684.5</x:v>
      </x:c>
    </x:row>
    <x:row r="6">
      <x:c r="A6" s="53" t="n">
        <x:v>43952</x:v>
      </x:c>
      <x:c r="B6" s="15" t="n">
        <x:v>153975500</x:v>
      </x:c>
      <x:c r="C6" s="15" t="n">
        <x:v>114403796.5</x:v>
      </x:c>
      <x:c r="D6" s="15" t="n">
        <x:f>B6-C6</x:f>
        <x:v>39571703.5</x:v>
      </x:c>
    </x:row>
    <x:row r="7">
      <x:c r="A7" s="53" t="n">
        <x:v>43983</x:v>
      </x:c>
      <x:c r="B7" s="15" t="n">
        <x:v>232841000</x:v>
      </x:c>
      <x:c r="C7" s="15" t="n">
        <x:v>173000863</x:v>
      </x:c>
      <x:c r="D7" s="15" t="n">
        <x:f>B7-C7</x:f>
        <x:v>59840137</x:v>
      </x:c>
    </x:row>
    <x:row r="8">
      <x:c r="A8" s="53" t="n">
        <x:v>44013</x:v>
      </x:c>
      <x:c r="B8" s="15" t="n">
        <x:v>210308000</x:v>
      </x:c>
      <x:c r="C8" s="15" t="n">
        <x:v>156258844</x:v>
      </x:c>
      <x:c r="D8" s="15" t="n">
        <x:f>B8-C8</x:f>
        <x:v>54049156</x:v>
      </x:c>
    </x:row>
    <x:row r="9">
      <x:c r="A9" s="53" t="n">
        <x:v>44044</x:v>
      </x:c>
      <x:c r="B9" s="15" t="n">
        <x:v>187775000</x:v>
      </x:c>
      <x:c r="C9" s="15" t="n">
        <x:v>139516825</x:v>
      </x:c>
      <x:c r="D9" s="15" t="n">
        <x:f>B9-C9</x:f>
        <x:v>48258175</x:v>
      </x:c>
    </x:row>
    <x:row r="10">
      <x:c r="A10" s="53" t="n">
        <x:v>44075</x:v>
      </x:c>
      <x:c r="B10" s="15" t="n">
        <x:v>165242000</x:v>
      </x:c>
      <x:c r="C10" s="15" t="n">
        <x:v>122774806</x:v>
      </x:c>
      <x:c r="D10" s="15" t="n">
        <x:f>B10-C10</x:f>
        <x:v>42467194</x:v>
      </x:c>
    </x:row>
    <x:row r="11">
      <x:c r="A11" s="53" t="n">
        <x:v>44105</x:v>
      </x:c>
      <x:c r="B11" s="15" t="n">
        <x:v>142709000</x:v>
      </x:c>
      <x:c r="C11" s="15" t="n">
        <x:v>106032787</x:v>
      </x:c>
      <x:c r="D11" s="15" t="n">
        <x:f>B11-C11</x:f>
        <x:v>36676213</x:v>
      </x:c>
    </x:row>
    <x:row r="12">
      <x:c r="A12" s="53" t="n">
        <x:v>44136</x:v>
      </x:c>
      <x:c r="B12" s="15" t="n">
        <x:v>221574500</x:v>
      </x:c>
      <x:c r="C12" s="15" t="n">
        <x:v>164629853.5</x:v>
      </x:c>
      <x:c r="D12" s="15" t="n">
        <x:f>B12-C12</x:f>
        <x:v>56944646.5</x:v>
      </x:c>
    </x:row>
    <x:row r="13">
      <x:c r="A13" s="53" t="n">
        <x:v>44166</x:v>
      </x:c>
      <x:c r="B13" s="15" t="n">
        <x:v>199041500</x:v>
      </x:c>
      <x:c r="C13" s="15" t="n">
        <x:v>147887834.5</x:v>
      </x:c>
      <x:c r="D13" s="15" t="n">
        <x:f>B13-C13</x:f>
        <x:v>51153665.5</x:v>
      </x:c>
    </x:row>
    <x:row r="14">
      <x:c r="A14" s="33" t="str">
        <x:v>Vuositarkistus</x:v>
      </x:c>
      <x:c r="B14" s="34" t="n">
        <x:f>SUM(B2:B13)</x:f>
        <x:v>2253300000</x:v>
      </x:c>
      <x:c r="C14" s="34" t="n">
        <x:f>SUM(C2:C13)</x:f>
        <x:v>1674201900</x:v>
      </x:c>
      <x:c r="D14" s="34" t="n">
        <x:f>SUM(D2:D13)</x:f>
        <x:v>579098100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6" t="str">
        <x:v>Vuositarkistus</x:v>
      </x:c>
      <x:c r="B1" s="6" t="str">
        <x:v>Odotettu arvo</x:v>
      </x:c>
      <x:c r="C1" s="6" t="str">
        <x:v>Laskettu arvo</x:v>
      </x:c>
      <x:c r="D1" s="6" t="str">
        <x:v>Erotus</x:v>
      </x:c>
    </x:row>
    <x:row r="2">
      <x:c r="A2" t="str">
        <x:v>Liikevaihto</x:v>
      </x:c>
      <x:c r="B2" s="15" t="n">
        <x:v>2253300000</x:v>
      </x:c>
      <x:c r="C2" s="15" t="n">
        <x:f>'Tuloslaskelma'!C7</x:f>
        <x:v>2253300000</x:v>
      </x:c>
      <x:c r="D2" s="55" t="n">
        <x:f>C2-B2</x:f>
        <x:v>0</x:v>
      </x:c>
    </x:row>
    <x:row r="3">
      <x:c r="A3" t="str">
        <x:v>Liikevoitto</x:v>
      </x:c>
      <x:c r="B3" s="15" t="n">
        <x:v>579098100</x:v>
      </x:c>
      <x:c r="C3" s="15" t="n">
        <x:f>'Tuloslaskelma'!C15</x:f>
        <x:v>579098100</x:v>
      </x:c>
      <x:c r="D3" s="55" t="n">
        <x:f>C3-B3</x:f>
        <x:v>0</x:v>
      </x:c>
    </x:row>
    <x:row r="4">
      <x:c r="A4" t="str">
        <x:v>Tilikauden voitto</x:v>
      </x:c>
      <x:c r="B4" s="15" t="n">
        <x:v>447054720</x:v>
      </x:c>
      <x:c r="C4" s="15" t="n">
        <x:f>'Tuloslaskelma'!C19</x:f>
        <x:v>447054720</x:v>
      </x:c>
      <x:c r="D4" s="55" t="n">
        <x:f>C4-B4</x:f>
        <x:v>0</x:v>
      </x:c>
    </x:row>
  </x:sheetData>
  <x:pageMargins left="0.7" right="0.7" top="0.75" bottom="0.75" header="0.3" footer="0.3"/>
</x:worksheet>
</file>