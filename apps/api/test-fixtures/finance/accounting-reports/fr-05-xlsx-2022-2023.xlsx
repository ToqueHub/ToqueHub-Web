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bec9a1502b46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te de résultat" sheetId="1" r:id="R56819888e9b14e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 [$€-1]"/>
    <x:numFmt numFmtId="201" formatCode="0.0%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64748B"/>
      <x:name val="Carlito"/>
    </x:font>
    <x:font>
      <x:sz val="11"/>
      <x:color rgb="FF10233F"/>
      <x:name val="Carlito"/>
    </x:font>
    <x:font>
      <x:b/>
      <x:sz val="11"/>
      <x:color rgb="FF10233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33F"/>
      </x:patternFill>
    </x:fill>
    <x:fill>
      <x:patternFill patternType="solid">
        <x:fgColor rgb="FF0F766E"/>
      </x:patternFill>
    </x:fill>
    <x:fill>
      <x:patternFill patternType="solid">
        <x:fgColor rgb="FFDDF7EF"/>
      </x:patternFill>
    </x:fill>
  </x:fills>
  <x:borders count="4">
    <x:border/>
    <x:border>
      <x:bottom style="thin">
        <x:color rgb="FFD8E2EC"/>
      </x:bottom>
    </x:border>
    <x:border>
      <x:top style="medium">
        <x:color rgb="FF0F766E"/>
      </x:top>
      <x:bottom style="thin">
        <x:color rgb="FFD8E2EC"/>
      </x:bottom>
    </x:border>
    <x:border>
      <x:top style="medium">
        <x:color rgb="FF10233F"/>
      </x:top>
      <x:bottom style="thin">
        <x:color rgb="FFD8E2EC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20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5" fillId="4" borderId="0" xfId="0" applyNumberFormat="1" applyFont="1" applyFill="1" applyBorder="1"/>
    <x:xf numFmtId="200" fontId="5" fillId="4" borderId="0" xfId="0" applyNumberFormat="1" applyFont="1" applyFill="1" applyBorder="1"/>
    <x:xf numFmtId="201" fontId="5" fillId="4" borderId="0" xfId="0" applyNumberFormat="1" applyFont="1" applyFill="1" applyBorder="1"/>
    <x:xf numFmtId="0" fontId="5" fillId="4" borderId="2" xfId="0" applyNumberFormat="1" applyFont="1" applyFill="1" applyBorder="1"/>
    <x:xf numFmtId="200" fontId="5" fillId="4" borderId="2" xfId="0" applyNumberFormat="1" applyFont="1" applyFill="1" applyBorder="1"/>
    <x:xf numFmtId="201" fontId="5" fillId="4" borderId="2" xfId="0" applyNumberFormat="1" applyFont="1" applyFill="1" applyBorder="1"/>
    <x:xf numFmtId="0" fontId="3" fillId="2" borderId="1" xfId="0" applyNumberFormat="1" applyFont="1" applyFill="1" applyBorder="1"/>
    <x:xf numFmtId="0" fontId="4" fillId="2" borderId="1" xfId="0" applyNumberFormat="1" applyFont="1" applyFill="1" applyBorder="1"/>
    <x:xf numFmtId="200" fontId="0" fillId="2" borderId="1" xfId="0" applyNumberFormat="1" applyFont="1" applyFill="1" applyBorder="1"/>
    <x:xf numFmtId="201" fontId="0" fillId="2" borderId="1" xfId="0" applyNumberFormat="1" applyFont="1" applyFill="1" applyBorder="1"/>
    <x:xf numFmtId="0" fontId="2" fillId="2" borderId="1" xfId="0" applyNumberFormat="1" applyFont="1" applyFill="1" applyBorder="1"/>
    <x:xf numFmtId="200" fontId="2" fillId="2" borderId="1" xfId="0" applyNumberFormat="1" applyFont="1" applyFill="1" applyBorder="1"/>
    <x:xf numFmtId="201" fontId="2" fillId="2" borderId="1" xfId="0" applyNumberFormat="1" applyFont="1" applyFill="1" applyBorder="1"/>
    <x:xf numFmtId="0" fontId="2" fillId="2" borderId="3" xfId="0" applyNumberFormat="1" applyFont="1" applyFill="1" applyBorder="1"/>
    <x:xf numFmtId="200" fontId="2" fillId="2" borderId="3" xfId="0" applyNumberFormat="1" applyFont="1" applyFill="1" applyBorder="1"/>
    <x:xf numFmtId="201" fontId="2" fillId="2" borderId="3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wrapText="1"/>
    </x:xf>
    <x:xf numFmtId="200" fontId="5" fillId="4" borderId="2" xfId="0" applyNumberFormat="1" applyFont="1" applyFill="1" applyBorder="1" applyAlignment="1">
      <x:alignment wrapText="1"/>
    </x:xf>
    <x:xf numFmtId="201" fontId="5" fillId="4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200" fontId="2" fillId="2" borderId="3" xfId="0" applyNumberFormat="1" applyFont="1" applyFill="1" applyBorder="1" applyAlignment="1">
      <x:alignment wrapText="1"/>
    </x:xf>
    <x:xf numFmtId="201" fontId="2" fillId="2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822790d17a4562" /><Relationship Type="http://schemas.openxmlformats.org/officeDocument/2006/relationships/theme" Target="/xl/theme/theme1.xml" Id="R6edc053d3cf948db" /><Relationship Type="http://schemas.openxmlformats.org/officeDocument/2006/relationships/sharedStrings" Target="/xl/sharedStrings.xml" Id="R4c83fb3e2aa64dd8" /><Relationship Type="http://schemas.openxmlformats.org/officeDocument/2006/relationships/worksheet" Target="/xl/worksheets/sheet1.xml" Id="R56819888e9b14e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9" hidden="0" customWidth="1"/>
    <x:col min="3" max="3" width="19" hidden="0" customWidth="1"/>
    <x:col min="4" max="4" width="18" hidden="0" customWidth="1"/>
  </x:cols>
  <x:sheetData>
    <x:row r="1" ht="32" customHeight="1">
      <x:c r="A1" s="39" t="str">
        <x:v>Compte de résultat — Maison Épure SARL</x:v>
      </x:c>
      <x:c r="B1" s="39"/>
      <x:c r="C1" s="39"/>
      <x:c r="D1" s="39"/>
    </x:row>
    <x:row r="2">
      <x:c r="A2" s="40" t="str">
        <x:v>Exercice</x:v>
      </x:c>
      <x:c r="B2" s="40" t="str">
        <x:v>2022-06-01 — 2023-05-31</x:v>
      </x:c>
      <x:c r="C2" s="40"/>
      <x:c r="D2" s="40"/>
    </x:row>
    <x:row r="3">
      <x:c r="A3" s="40" t="str">
        <x:v>Devise</x:v>
      </x:c>
      <x:c r="B3" s="40" t="str">
        <x:v>EUR</x:v>
      </x:c>
      <x:c r="C3" s="40"/>
      <x:c r="D3" s="40"/>
    </x:row>
    <x:row r="4">
      <x:c r="A4" s="40" t="str">
        <x:v>Business ID</x:v>
      </x:c>
      <x:c r="B4" s="40" t="str">
        <x:v>1004585-5</x:v>
      </x:c>
      <x:c r="C4" s="40"/>
      <x:c r="D4" s="40"/>
    </x:row>
    <x:row r="5">
      <x:c r="A5" s="40" t="str">
        <x:v>Synthetic QA corpus</x:v>
      </x:c>
      <x:c r="B5" s="40" t="str">
        <x:v>ToqueHub Finance OCR · v1</x:v>
      </x:c>
      <x:c r="C5" s="40"/>
      <x:c r="D5" s="40"/>
    </x:row>
    <x:row r="6" ht="24" customHeight="1">
      <x:c r="A6" s="41" t="str">
        <x:v>Compte</x:v>
      </x:c>
      <x:c r="B6" s="41" t="str">
        <x:v>Libellé</x:v>
      </x:c>
      <x:c r="C6" s="41" t="str">
        <x:v>Montant</x:v>
      </x:c>
      <x:c r="D6" s="41" t="str">
        <x:v>% du CA</x:v>
      </x:c>
    </x:row>
    <x:row r="7">
      <x:c r="A7" s="42" t="str">
        <x:v>3000</x:v>
      </x:c>
      <x:c r="B7" s="43" t="str">
        <x:v>Chiffre d'affaires</x:v>
      </x:c>
      <x:c r="C7" s="44" t="n">
        <x:v>191700</x:v>
      </x:c>
      <x:c r="D7" s="45" t="n">
        <x:f>C7/$C$7</x:f>
        <x:v>1</x:v>
      </x:c>
    </x:row>
    <x:row r="8">
      <x:c r="A8" s="42" t="str">
        <x:v>4000</x:v>
      </x:c>
      <x:c r="B8" s="43" t="str">
        <x:v>Achats de matières premières</x:v>
      </x:c>
      <x:c r="C8" s="44" t="n">
        <x:v>58660.2</x:v>
      </x:c>
      <x:c r="D8" s="45" t="n">
        <x:f>C8/$C$7</x:f>
        <x:v>0.306</x:v>
      </x:c>
    </x:row>
    <x:row r="9">
      <x:c r="A9" s="42" t="str">
        <x:v>5000</x:v>
      </x:c>
      <x:c r="B9" s="43" t="str">
        <x:v>Salaires et charges sociales</x:v>
      </x:c>
      <x:c r="C9" s="44" t="n">
        <x:v>57893.4</x:v>
      </x:c>
      <x:c r="D9" s="45" t="n">
        <x:f>C9/$C$7</x:f>
        <x:v>0.302</x:v>
      </x:c>
    </x:row>
    <x:row r="10">
      <x:c r="A10" s="42" t="str">
        <x:v>6100</x:v>
      </x:c>
      <x:c r="B10" s="43" t="str">
        <x:v>Loyers et charges locatives</x:v>
      </x:c>
      <x:c r="C10" s="44" t="n">
        <x:v>13112.28</x:v>
      </x:c>
      <x:c r="D10" s="45" t="n">
        <x:f>C10/$C$7</x:f>
        <x:v>0.0684</x:v>
      </x:c>
    </x:row>
    <x:row r="11">
      <x:c r="A11" s="42" t="str">
        <x:v>6200</x:v>
      </x:c>
      <x:c r="B11" s="43" t="str">
        <x:v>Énergie et services</x:v>
      </x:c>
      <x:c r="C11" s="44" t="n">
        <x:v>6901.2</x:v>
      </x:c>
      <x:c r="D11" s="45" t="n">
        <x:f>C11/$C$7</x:f>
        <x:v>0.036</x:v>
      </x:c>
    </x:row>
    <x:row r="12">
      <x:c r="A12" s="42" t="str">
        <x:v>6300</x:v>
      </x:c>
      <x:c r="B12" s="43" t="str">
        <x:v>Marketing et communication</x:v>
      </x:c>
      <x:c r="C12" s="44" t="n">
        <x:v>5520.96</x:v>
      </x:c>
      <x:c r="D12" s="45" t="n">
        <x:f>C12/$C$7</x:f>
        <x:v>0.0288</x:v>
      </x:c>
    </x:row>
    <x:row r="13">
      <x:c r="A13" s="42" t="str">
        <x:v>6500</x:v>
      </x:c>
      <x:c r="B13" s="43" t="str">
        <x:v>Autres charges d'exploitation</x:v>
      </x:c>
      <x:c r="C13" s="44" t="n">
        <x:v>8971.56</x:v>
      </x:c>
      <x:c r="D13" s="45" t="n">
        <x:f>C13/$C$7</x:f>
        <x:v>0.046799999999999994</x:v>
      </x:c>
    </x:row>
    <x:row r="14">
      <x:c r="A14" s="42" t="str"/>
      <x:c r="B14" s="43" t="str"/>
      <x:c r="C14" s="44"/>
      <x:c r="D14" s="45" t="n">
        <x:f>C14/$C$7</x:f>
        <x:v>0</x:v>
      </x:c>
    </x:row>
    <x:row r="15">
      <x:c r="A15" s="46" t="str">
        <x:v>6990</x:v>
      </x:c>
      <x:c r="B15" s="46" t="str">
        <x:v>Résultat d'exploitation</x:v>
      </x:c>
      <x:c r="C15" s="47" t="n">
        <x:f>C7-SUM(C8:C13)</x:f>
        <x:v>40640.399999999994</x:v>
      </x:c>
      <x:c r="D15" s="48" t="n">
        <x:f>C15/$C$7</x:f>
        <x:v>0.21199999999999997</x:v>
      </x:c>
    </x:row>
    <x:row r="16">
      <x:c r="A16" s="42" t="str">
        <x:v>7000</x:v>
      </x:c>
      <x:c r="B16" s="43" t="str">
        <x:v>Charges financières</x:v>
      </x:c>
      <x:c r="C16" s="44" t="n">
        <x:v>2492.1</x:v>
      </x:c>
      <x:c r="D16" s="45" t="n">
        <x:f>C16/$C$7</x:f>
        <x:v>0.013</x:v>
      </x:c>
    </x:row>
    <x:row r="17">
      <x:c r="A17" s="42" t="str">
        <x:v>8000</x:v>
      </x:c>
      <x:c r="B17" s="43" t="str">
        <x:v>Impôts sur le résultat</x:v>
      </x:c>
      <x:c r="C17" s="44" t="n">
        <x:v>6866.69</x:v>
      </x:c>
      <x:c r="D17" s="45" t="n">
        <x:f>C17/$C$7</x:f>
        <x:v>0.03581997913406364</x:v>
      </x:c>
    </x:row>
    <x:row r="18">
      <x:c r="A18" s="42" t="str"/>
      <x:c r="B18" s="43" t="str"/>
      <x:c r="C18" s="44"/>
      <x:c r="D18" s="45" t="n">
        <x:f>C18/$C$7</x:f>
        <x:v>0</x:v>
      </x:c>
    </x:row>
    <x:row r="19">
      <x:c r="A19" s="49" t="str">
        <x:v>8990</x:v>
      </x:c>
      <x:c r="B19" s="49" t="str">
        <x:v>Résultat net</x:v>
      </x:c>
      <x:c r="C19" s="50" t="n">
        <x:f>C15-C16-C17</x:f>
        <x:v>31281.609999999997</x:v>
      </x:c>
      <x:c r="D19" s="51" t="n">
        <x:f>C19/$C$7</x:f>
        <x:v>0.16318002086593633</x:v>
      </x:c>
    </x:row>
  </x:sheetData>
  <x:mergeCells>
    <x:mergeCell ref="A1:D1"/>
  </x:mergeCells>
  <x:pageMargins left="0.7" right="0.7" top="0.75" bottom="0.75" header="0.3" footer="0.3"/>
</x:worksheet>
</file>