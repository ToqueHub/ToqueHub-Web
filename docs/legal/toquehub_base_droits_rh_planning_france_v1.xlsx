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a857b301d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bdda20c1c04176"/>
    <x:sheet xmlns:r="http://schemas.openxmlformats.org/officeDocument/2006/relationships" name="Conventions_FR" sheetId="2" r:id="Rae6d0f4a73444051"/>
    <x:sheet xmlns:r="http://schemas.openxmlformats.org/officeDocument/2006/relationships" name="Droits_communs_prive" sheetId="3" r:id="R7bff3eb0f1ee46e9"/>
    <x:sheet xmlns:r="http://schemas.openxmlformats.org/officeDocument/2006/relationships" name="Droits_public" sheetId="4" r:id="R87a0a30d68874dfc"/>
    <x:sheet xmlns:r="http://schemas.openxmlformats.org/officeDocument/2006/relationships" name="Regles_conventions" sheetId="5" r:id="R9e789f68530b4cb5"/>
    <x:sheet xmlns:r="http://schemas.openxmlformats.org/officeDocument/2006/relationships" name="Mapping_metiers" sheetId="6" r:id="Rc9951d4c319743ac"/>
    <x:sheet xmlns:r="http://schemas.openxmlformats.org/officeDocument/2006/relationships" name="Modele_donnees" sheetId="7" r:id="Rb7aab620addf485a"/>
    <x:sheet xmlns:r="http://schemas.openxmlformats.org/officeDocument/2006/relationships" name="Lexique_tags" sheetId="8" r:id="Rd8c4f8bea5f8445c"/>
    <x:sheet xmlns:r="http://schemas.openxmlformats.org/officeDocument/2006/relationships" name="Sources" sheetId="9" r:id="R30899fdd5ea44a8b"/>
    <x:sheet xmlns:r="http://schemas.openxmlformats.org/officeDocument/2006/relationships" name="A_valider_phase2" sheetId="10" r:id="R69e48929dd5343b5"/>
    <x:sheet xmlns:r="http://schemas.openxmlformats.org/officeDocument/2006/relationships" name="Dashboard" sheetId="11" r:id="Rf6c979ab5b1e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0523f69fb42f3" /><Relationship Type="http://schemas.openxmlformats.org/officeDocument/2006/relationships/theme" Target="/xl/theme/theme1.xml" Id="Rfa5c8772273a446c" /><Relationship Type="http://schemas.openxmlformats.org/officeDocument/2006/relationships/sharedStrings" Target="/xl/sharedStrings.xml" Id="R86227f91d41e4ecb" /><Relationship Type="http://schemas.openxmlformats.org/officeDocument/2006/relationships/worksheet" Target="/xl/worksheets/sheet1.xml" Id="R36bdda20c1c04176" /><Relationship Type="http://schemas.openxmlformats.org/officeDocument/2006/relationships/worksheet" Target="/xl/worksheets/sheet2.xml" Id="Rae6d0f4a73444051" /><Relationship Type="http://schemas.openxmlformats.org/officeDocument/2006/relationships/worksheet" Target="/xl/worksheets/sheet3.xml" Id="R7bff3eb0f1ee46e9" /><Relationship Type="http://schemas.openxmlformats.org/officeDocument/2006/relationships/worksheet" Target="/xl/worksheets/sheet4.xml" Id="R87a0a30d68874dfc" /><Relationship Type="http://schemas.openxmlformats.org/officeDocument/2006/relationships/worksheet" Target="/xl/worksheets/sheet5.xml" Id="R9e789f68530b4cb5" /><Relationship Type="http://schemas.openxmlformats.org/officeDocument/2006/relationships/worksheet" Target="/xl/worksheets/sheet6.xml" Id="Rc9951d4c319743ac" /><Relationship Type="http://schemas.openxmlformats.org/officeDocument/2006/relationships/worksheet" Target="/xl/worksheets/sheet7.xml" Id="Rb7aab620addf485a" /><Relationship Type="http://schemas.openxmlformats.org/officeDocument/2006/relationships/worksheet" Target="/xl/worksheets/sheet8.xml" Id="Rd8c4f8bea5f8445c" /><Relationship Type="http://schemas.openxmlformats.org/officeDocument/2006/relationships/worksheet" Target="/xl/worksheets/sheet9.xml" Id="R30899fdd5ea44a8b" /><Relationship Type="http://schemas.openxmlformats.org/officeDocument/2006/relationships/worksheet" Target="/xl/worksheets/sheet10.xml" Id="R69e48929dd5343b5" /><Relationship Type="http://schemas.openxmlformats.org/officeDocument/2006/relationships/worksheet" Target="/xl/worksheets/sheet11.xml" Id="Rf6c979ab5b1e40e6" /></Relationships>
</file>

<file path=xl/tables/table1.xml><?xml version="1.0" encoding="utf-8"?>
<x:table xmlns:x="http://schemas.openxmlformats.org/spreadsheetml/2006/main" id="1" name="ConventionsFR" displayName="ConventionsFR" ref="A1:J15" headerRowCount="1">
  <x:tableColumns count="10">
    <x:tableColumn id="1" name="agreement_key"/>
    <x:tableColumn id="2" name="regime"/>
    <x:tableColumn id="3" name="idcc"/>
    <x:tableColumn id="4" name="nom"/>
    <x:tableColumn id="5" name="etablissements_typiques"/>
    <x:tableColumn id="6" name="a_router_si"/>
    <x:tableColumn id="7" name="droits_planning_a_extraire"/>
    <x:tableColumn id="8" name="priorite"/>
    <x:tableColumn id="9" name="source_url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roitsPrive" displayName="DroitsPrive" ref="A1:L37" headerRowCount="1">
  <x:tableColumns count="12">
    <x:tableColumn id="1" name="right_id"/>
    <x:tableColumn id="2" name="famille"/>
    <x:tableColumn id="3" name="libelle"/>
    <x:tableColumn id="4" name="statut"/>
    <x:tableColumn id="5" name="droit_base"/>
    <x:tableColumn id="6" name="condition_declencheur"/>
    <x:tableColumn id="7" name="unite"/>
    <x:tableColumn id="8" name="remunere"/>
    <x:tableColumn id="9" name="compteur_planning"/>
    <x:tableColumn id="10" name="parametres_a_prevoir"/>
    <x:tableColumn id="11" name="source_url"/>
    <x:tableColumn id="12" name="commentaire_integration"/>
  </x:tableColumns>
  <x:tableStyleInfo name="TableStyleMedium2" showRowStripes="1"/>
</x:table>
</file>

<file path=xl/tables/table3.xml><?xml version="1.0" encoding="utf-8"?>
<x:table xmlns:x="http://schemas.openxmlformats.org/spreadsheetml/2006/main" id="3" name="DroitsPublic" displayName="DroitsPublic" ref="A1:L14" headerRowCount="1">
  <x:tableColumns count="12">
    <x:tableColumn id="1" name="right_id"/>
    <x:tableColumn id="2" name="famille"/>
    <x:tableColumn id="3" name="regime_public"/>
    <x:tableColumn id="4" name="libelle"/>
    <x:tableColumn id="5" name="droit_base"/>
    <x:tableColumn id="6" name="condition_declencheur"/>
    <x:tableColumn id="7" name="unite"/>
    <x:tableColumn id="8" name="remunere"/>
    <x:tableColumn id="9" name="compteur_planning"/>
    <x:tableColumn id="10" name="parametres_a_prevoir"/>
    <x:tableColumn id="11" name="source_url"/>
    <x:tableColumn id="12" name="commentaire_integration"/>
  </x:tableColumns>
  <x:tableStyleInfo name="TableStyleMedium2" showRowStripes="1"/>
</x:table>
</file>

<file path=xl/tables/table4.xml><?xml version="1.0" encoding="utf-8"?>
<x:table xmlns:x="http://schemas.openxmlformats.org/spreadsheetml/2006/main" id="4" name="ReglesConventions" displayName="ReglesConventions" ref="A1:L20" headerRowCount="1">
  <x:tableColumns count="12">
    <x:tableColumn id="1" name="rule_id"/>
    <x:tableColumn id="2" name="idcc_ou_regime"/>
    <x:tableColumn id="3" name="famille"/>
    <x:tableColumn id="4" name="libelle"/>
    <x:tableColumn id="5" name="regle_resume"/>
    <x:tableColumn id="6" name="conditions"/>
    <x:tableColumn id="7" name="unite"/>
    <x:tableColumn id="8" name="remunere"/>
    <x:tableColumn id="9" name="compteur_planning"/>
    <x:tableColumn id="10" name="source_url"/>
    <x:tableColumn id="11" name="priorite"/>
    <x:tableColumn id="12" name="notes_integration"/>
  </x:tableColumns>
  <x:tableStyleInfo name="TableStyleMedium2" showRowStripes="1"/>
</x:table>
</file>

<file path=xl/tables/table5.xml><?xml version="1.0" encoding="utf-8"?>
<x:table xmlns:x="http://schemas.openxmlformats.org/spreadsheetml/2006/main" id="5" name="MappingMetiers" displayName="MappingMetiers" ref="A1:G13" headerRowCount="1">
  <x:tableColumns count="7">
    <x:tableColumn id="1" name="job_family"/>
    <x:tableColumn id="2" name="metiers_exemples"/>
    <x:tableColumn id="3" name="type_etablissement"/>
    <x:tableColumn id="4" name="routage_prive_probable"/>
    <x:tableColumn id="5" name="routage_public_probable"/>
    <x:tableColumn id="6" name="droits_a_surveiller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odeleDonnees" displayName="ModeleDonnees" ref="A1:E9" headerRowCount="1">
  <x:tableColumns count="5">
    <x:tableColumn id="1" name="table"/>
    <x:tableColumn id="2" name="champ_cle"/>
    <x:tableColumn id="3" name="champs_recommandes"/>
    <x:tableColumn id="4" name="objectif"/>
    <x:tableColumn id="5" name="exemple"/>
  </x:tableColumns>
  <x:tableStyleInfo name="TableStyleMedium2" showRowStripes="1"/>
</x:table>
</file>

<file path=xl/tables/table7.xml><?xml version="1.0" encoding="utf-8"?>
<x:table xmlns:x="http://schemas.openxmlformats.org/spreadsheetml/2006/main" id="7" name="LexiqueTags" displayName="LexiqueTags" ref="A1:F11" headerRowCount="1">
  <x:tableColumns count="6">
    <x:tableColumn id="1" name="tag_toquehub"/>
    <x:tableColumn id="2" name="nom_affiche"/>
    <x:tableColumn id="3" name="origine_juridique_ou_metier"/>
    <x:tableColumn id="4" name="sens_planning"/>
    <x:tableColumn id="5" name="compteur_associe"/>
    <x:tableColumn id="6" name="ne_pas_confondre_avec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1:F20" headerRowCount="1">
  <x:tableColumns count="6">
    <x:tableColumn id="1" name="source_id"/>
    <x:tableColumn id="2" name="autorite"/>
    <x:tableColumn id="3" name="url"/>
    <x:tableColumn id="4" name="perimetre"/>
    <x:tableColumn id="5" name="type_source"/>
    <x:tableColumn id="6" name="frequence_maj_recommandee"/>
  </x:tableColumns>
  <x:tableStyleInfo name="TableStyleMedium2" showRowStripes="1"/>
</x:table>
</file>

<file path=xl/tables/table9.xml><?xml version="1.0" encoding="utf-8"?>
<x:table xmlns:x="http://schemas.openxmlformats.org/spreadsheetml/2006/main" id="9" name="AValider" displayName="AValider" ref="A1:E10" headerRowCount="1">
  <x:tableColumns count="5">
    <x:tableColumn id="1" name="lot"/>
    <x:tableColumn id="2" name="priorite"/>
    <x:tableColumn id="3" name="travail_a_faire"/>
    <x:tableColumn id="4" name="sortie_attendue"/>
    <x:tableColumn id="5" name="risque_si_non_fa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fd664ed86c46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451bcafd2b4f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09f20006a74d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b2cfdf685842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523d77831a4c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efe882a365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41650a484744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1679bae61749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539a450ac444c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8" t="str">
        <x:v>Champ</x:v>
      </x:c>
      <x:c r="B1" s="8" t="str">
        <x:v>Valeur</x:v>
      </x:c>
    </x:row>
    <x:row r="2">
      <x:c r="A2" s="9" t="str">
        <x:v>But du fichier</x:v>
      </x:c>
      <x:c r="B2" s="9" t="str">
        <x:v>Base V1 France pour Toquehub : routage convention/statut + familles de droits planning + premières règles intégrables.</x:v>
      </x:c>
    </x:row>
    <x:row r="3">
      <x:c r="A3" s="9" t="str">
        <x:v>Date de génération</x:v>
      </x:c>
      <x:c r="B3" s="9" t="str">
        <x:v>2026-06-28</x:v>
      </x:c>
    </x:row>
    <x:row r="4">
      <x:c r="A4" s="9" t="str">
        <x:v>Périmètre</x:v>
      </x:c>
      <x:c r="B4" s="9" t="str">
        <x:v>Hôtellerie-restauration au sens large : HCR, restauration rapide, restauration collective, campings/HPA, cafétérias, tourisme social, casinos, ferroviaire, hôpitaux/établissements de santé, public/privé.</x:v>
      </x:c>
    </x:row>
    <x:row r="5">
      <x:c r="A5" s="9" t="str">
        <x:v>Principe d'intégration</x:v>
      </x:c>
      <x:c r="B5" s="9" t="str">
        <x:v>Ne pas lier les droits uniquement au métier : l'app doit router par régime public/privé, IDCC, type d'établissement, contrat, temps de travail, ancienneté, localisation et accords d'entreprise.</x:v>
      </x:c>
    </x:row>
    <x:row r="6">
      <x:c r="A6" s="9" t="str">
        <x:v>Priorité des règles</x:v>
      </x:c>
      <x:c r="B6" s="9" t="str">
        <x:v>Code/statut public = socle ; convention/accord/usage/contrat peuvent améliorer ou compléter. En privé, appliquer la règle la plus favorable quand applicable ; pour le temps de travail, stocker la source et l'accord applicable.</x:v>
      </x:c>
    </x:row>
    <x:row r="7">
      <x:c r="A7" s="9" t="str">
        <x:v>Heures vertes</x:v>
      </x:c>
      <x:c r="B7" s="9" t="str">
        <x:v>Terme à traiter comme tag Toquehub interne, non comme droit autonome : relier à récupération, RTT, repos compensateur, compteur d'annualisation, jour férié compensé, CET ou repos hebdomadaire reporté.</x:v>
      </x:c>
    </x:row>
    <x:row r="8">
      <x:c r="A8" s="9" t="str">
        <x:v>Niveau de confiance</x:v>
      </x:c>
      <x:c r="B8" s="9" t="str">
        <x:v>V1 de structuration et de pré-remplissage. Avant mise en production paie/RH : validation juridique/paie, extraction article par article et mise à jour automatique des sources officielles.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38" hidden="0" customWidth="1"/>
    <x:col min="5" max="5" width="48" hidden="0" customWidth="1"/>
    <x:col min="6" max="6" width="42" hidden="0" customWidth="1"/>
    <x:col min="7" max="7" width="50" hidden="0" customWidth="1"/>
    <x:col min="8" max="8" width="10" hidden="0" customWidth="1"/>
    <x:col min="9" max="9" width="55" hidden="0" customWidth="1"/>
    <x:col min="10" max="10" width="45" hidden="0" customWidth="1"/>
  </x:cols>
  <x:sheetData>
    <x:row r="1" ht="15" hidden="0" customHeight="1">
      <x:c r="A1" s="13" t="str">
        <x:v>agreement_key</x:v>
      </x:c>
      <x:c r="B1" s="13" t="str">
        <x:v>regime</x:v>
      </x:c>
      <x:c r="C1" s="13" t="str">
        <x:v>idcc</x:v>
      </x:c>
      <x:c r="D1" s="13" t="str">
        <x:v>nom</x:v>
      </x:c>
      <x:c r="E1" s="13" t="str">
        <x:v>etablissements_typiques</x:v>
      </x:c>
      <x:c r="F1" s="13" t="str">
        <x:v>a_router_si</x:v>
      </x:c>
      <x:c r="G1" s="13" t="str">
        <x:v>droits_planning_a_extraire</x:v>
      </x:c>
      <x:c r="H1" s="13" t="str">
        <x:v>priorite</x:v>
      </x:c>
      <x:c r="I1" s="13" t="str">
        <x:v>source_url</x:v>
      </x:c>
      <x:c r="J1" s="13" t="str">
        <x:v>notes</x:v>
      </x:c>
    </x:row>
    <x:row r="2" ht="15" hidden="0" customHeight="1">
      <x:c r="A2" s="16" t="str">
        <x:v>CCN_HCR_1979</x:v>
      </x:c>
      <x:c r="B2" s="16" t="str">
        <x:v>Privé</x:v>
      </x:c>
      <x:c r="C2" s="16" t="str">
        <x:v>1979</x:v>
      </x:c>
      <x:c r="D2" s="16" t="str">
        <x:v>Hôtels, cafés, restaurants (HCR)</x:v>
      </x:c>
      <x:c r="E2" s="16" t="str">
        <x:v>Hôtels, restaurants traditionnels, brasseries, cafés, bars, traiteurs/établissements assimilés selon champ</x:v>
      </x:c>
      <x:c r="F2" s="16" t="str">
        <x:v>Bulletin/DSN IDCC 1979, activité principale HCR</x:v>
      </x:c>
      <x:c r="G2" s="16" t="str">
        <x:v>Congés, repos hebdo, jours fériés garantis, enfant malade, événements familiaux, maladie/AT, formation syndicale, maternité, temps de travail, nuit, avantages repas</x:v>
      </x:c>
      <x:c r="H2" s="16" t="n">
        <x:v>1</x:v>
      </x:c>
      <x:c r="I2" s="16" t="str">
        <x:v>https://www.legifrance.gouv.fr/conv_coll/id/KALICONT000005635534/</x:v>
      </x:c>
      <x:c r="J2" s="16" t="str">
        <x:v>Convention cœur pour Toquehub.</x:v>
      </x:c>
    </x:row>
    <x:row r="3" ht="15" hidden="0" customHeight="1">
      <x:c r="A3" s="16" t="str">
        <x:v>CCN_REST_RAPIDE_1501</x:v>
      </x:c>
      <x:c r="B3" s="16" t="str">
        <x:v>Privé</x:v>
      </x:c>
      <x:c r="C3" s="16" t="str">
        <x:v>1501</x:v>
      </x:c>
      <x:c r="D3" s="16" t="str">
        <x:v>Restauration rapide</x:v>
      </x:c>
      <x:c r="E3" s="16" t="str">
        <x:v>Fast-food, vente au comptoir, livraison/click&amp;collect, chaînes de restauration rapide</x:v>
      </x:c>
      <x:c r="F3" s="16" t="str">
        <x:v>IDCC 1501 ou activité restauration rapide</x:v>
      </x:c>
      <x:c r="G3" s="16" t="str">
        <x:v>Congés/événements, contingent HS, prime annuelle, blanchissage/uniforme, temps partiel, coupures, nuit, dimanches/JF</x:v>
      </x:c>
      <x:c r="H3" s="16" t="n">
        <x:v>1</x:v>
      </x:c>
      <x:c r="I3" s="16" t="str">
        <x:v>https://code.travail.gouv.fr/convention-collective/1501-restauration-rapide</x:v>
      </x:c>
      <x:c r="J3" s="16" t="str">
        <x:v>Source Code du travail numérique + Légifrance.</x:v>
      </x:c>
    </x:row>
    <x:row r="4" ht="15" hidden="0" customHeight="1">
      <x:c r="A4" s="16" t="str">
        <x:v>CCN_REST_COLLECTIVE_1266</x:v>
      </x:c>
      <x:c r="B4" s="16" t="str">
        <x:v>Privé</x:v>
      </x:c>
      <x:c r="C4" s="16" t="str">
        <x:v>1266</x:v>
      </x:c>
      <x:c r="D4" s="16" t="str">
        <x:v>Restauration de collectivités</x:v>
      </x:c>
      <x:c r="E4" s="16" t="str">
        <x:v>Cantines d'entreprise, scolaires, universitaires, hospitalières, EHPAD, prisons, concessions restauration collective</x:v>
      </x:c>
      <x:c r="F4" s="16" t="str">
        <x:v>Prestataire privé de restauration collective, IDCC 1266</x:v>
      </x:c>
      <x:c r="G4" s="16" t="str">
        <x:v>Travail intermittent scolaire, reprise du personnel, primes, JF/week-end/nuit, temps partiel annualisé, coupures, repas</x:v>
      </x:c>
      <x:c r="H4" s="16" t="n">
        <x:v>1</x:v>
      </x:c>
      <x:c r="I4" s="16" t="str">
        <x:v>https://www.legifrance.gouv.fr/conv_coll/id/KALITEXT000005640425</x:v>
      </x:c>
      <x:c r="J4" s="16" t="str">
        <x:v>Très important pour hôpitaux/écoles quand restauration externalisée.</x:v>
      </x:c>
    </x:row>
    <x:row r="5" ht="15" hidden="0" customHeight="1">
      <x:c r="A5" s="16" t="str">
        <x:v>CCN_HPA_1631</x:v>
      </x:c>
      <x:c r="B5" s="16" t="str">
        <x:v>Privé</x:v>
      </x:c>
      <x:c r="C5" s="16" t="str">
        <x:v>1631</x:v>
      </x:c>
      <x:c r="D5" s="16" t="str">
        <x:v>Hôtellerie de plein air</x:v>
      </x:c>
      <x:c r="E5" s="16" t="str">
        <x:v>Campings, parcs résidentiels, villages de plein air, activités saisonnières associées</x:v>
      </x:c>
      <x:c r="F5" s="16" t="str">
        <x:v>IDCC 1631, camping privé/HPA</x:v>
      </x:c>
      <x:c r="G5" s="16" t="str">
        <x:v>Saisonnalité, CDD saisonnier, RTT/JRTT, repos, astreintes, logement éventuel, jours fériés, temps de travail</x:v>
      </x:c>
      <x:c r="H5" s="16" t="n">
        <x:v>1</x:v>
      </x:c>
      <x:c r="I5" s="16" t="str">
        <x:v>https://www.legifrance.gouv.fr/conv_coll/id/KALICONT000005635252</x:v>
      </x:c>
      <x:c r="J5" s="16" t="str">
        <x:v>Prioritaire pour campings.</x:v>
      </x:c>
    </x:row>
    <x:row r="6" ht="15" hidden="0" customHeight="1">
      <x:c r="A6" s="16" t="str">
        <x:v>CCN_CAFETERIAS_2060</x:v>
      </x:c>
      <x:c r="B6" s="16" t="str">
        <x:v>Privé</x:v>
      </x:c>
      <x:c r="C6" s="16" t="str">
        <x:v>2060</x:v>
      </x:c>
      <x:c r="D6" s="16" t="str">
        <x:v>Chaînes de cafétérias et assimilés</x:v>
      </x:c>
      <x:c r="E6" s="16" t="str">
        <x:v>Cafétérias en chaîne, self-service, établissements assimilés</x:v>
      </x:c>
      <x:c r="F6" s="16" t="str">
        <x:v>IDCC 2060</x:v>
      </x:c>
      <x:c r="G6" s="16" t="str">
        <x:v>Congés, temps de travail, jours fériés, coupures, salaires/primes, classifications</x:v>
      </x:c>
      <x:c r="H6" s="16" t="n">
        <x:v>2</x:v>
      </x:c>
      <x:c r="I6" s="16" t="str">
        <x:v>https://www.legifrance.gouv.fr/conv_coll/id/KALICONT000005635326</x:v>
      </x:c>
      <x:c r="J6" s="16" t="str">
        <x:v>À distinguer de restauration rapide et HCR.</x:v>
      </x:c>
    </x:row>
    <x:row r="7" ht="15" hidden="0" customHeight="1">
      <x:c r="A7" s="16" t="str">
        <x:v>CCN_TOURISME_SOCIAL_1316</x:v>
      </x:c>
      <x:c r="B7" s="16" t="str">
        <x:v>Privé</x:v>
      </x:c>
      <x:c r="C7" s="16" t="str">
        <x:v>1316</x:v>
      </x:c>
      <x:c r="D7" s="16" t="str">
        <x:v>Tourisme social et familial</x:v>
      </x:c>
      <x:c r="E7" s="16" t="str">
        <x:v>Villages vacances, centres de vacances, auberges/structures sociales selon champ</x:v>
      </x:c>
      <x:c r="F7" s="16" t="str">
        <x:v>IDCC 1316</x:v>
      </x:c>
      <x:c r="G7" s="16" t="str">
        <x:v>Saisonnalité, astreintes, logements, nuit, jours fériés, congés, récupérations</x:v>
      </x:c>
      <x:c r="H7" s="16" t="n">
        <x:v>2</x:v>
      </x:c>
      <x:c r="I7" s="16" t="str">
        <x:v>https://www.legifrance.gouv.fr/conv_coll/id/KALICONT000005635867</x:v>
      </x:c>
      <x:c r="J7" s="16" t="str">
        <x:v>À activer pour villages vacances/hébergement social.</x:v>
      </x:c>
    </x:row>
    <x:row r="8" ht="15" hidden="0" customHeight="1">
      <x:c r="A8" s="16" t="str">
        <x:v>CCN_CASINOS_2257</x:v>
      </x:c>
      <x:c r="B8" s="16" t="str">
        <x:v>Privé</x:v>
      </x:c>
      <x:c r="C8" s="16" t="str">
        <x:v>2257</x:v>
      </x:c>
      <x:c r="D8" s="16" t="str">
        <x:v>Casinos</x:v>
      </x:c>
      <x:c r="E8" s="16" t="str">
        <x:v>Casinos avec personnel restauration-hôtellerie, bars, accueil</x:v>
      </x:c>
      <x:c r="F8" s="16" t="str">
        <x:v>IDCC 2257, restaurant/bar d'un casino</x:v>
      </x:c>
      <x:c r="G8" s="16" t="str">
        <x:v>Travail de nuit, dimanches/JF, classifications restauration-hôtellerie, repos, primes</x:v>
      </x:c>
      <x:c r="H8" s="16" t="n">
        <x:v>2</x:v>
      </x:c>
      <x:c r="I8" s="16" t="str">
        <x:v>https://www.legifrance.gouv.fr/conv_coll/id/KALICONT000005635618</x:v>
      </x:c>
      <x:c r="J8" s="16" t="str">
        <x:v>Inclut des avenants récents pour rémunérations et nuit.</x:v>
      </x:c>
    </x:row>
    <x:row r="9" ht="15" hidden="0" customHeight="1">
      <x:c r="A9" s="16" t="str">
        <x:v>CCN_REST_FERROVIAIRE_1311</x:v>
      </x:c>
      <x:c r="B9" s="16" t="str">
        <x:v>Privé</x:v>
      </x:c>
      <x:c r="C9" s="16" t="str">
        <x:v>1311</x:v>
      </x:c>
      <x:c r="D9" s="16" t="str">
        <x:v>Restauration ferroviaire</x:v>
      </x:c>
      <x:c r="E9" s="16" t="str">
        <x:v>Restauration à bord des trains, prestations ferroviaires</x:v>
      </x:c>
      <x:c r="F9" s="16" t="str">
        <x:v>IDCC 1311</x:v>
      </x:c>
      <x:c r="G9" s="16" t="str">
        <x:v>Déplacements, temps de travail, repos, primes, nuit, jours fériés</x:v>
      </x:c>
      <x:c r="H9" s="16" t="n">
        <x:v>2</x:v>
      </x:c>
      <x:c r="I9" s="16" t="str">
        <x:v>https://www.legifrance.gouv.fr/conv_coll/id/KALICONT000005635694</x:v>
      </x:c>
      <x:c r="J9" s="16" t="str">
        <x:v>Cas spécifique mais utile pour couverture complète.</x:v>
      </x:c>
    </x:row>
    <x:row r="10" ht="15" hidden="0" customHeight="1">
      <x:c r="A10" s="16" t="str">
        <x:v>CCN_HOSP_PRIVEE_2264</x:v>
      </x:c>
      <x:c r="B10" s="16" t="str">
        <x:v>Privé</x:v>
      </x:c>
      <x:c r="C10" s="16" t="str">
        <x:v>2264</x:v>
      </x:c>
      <x:c r="D10" s="16" t="str">
        <x:v>Hospitalisation privée / FHP</x:v>
      </x:c>
      <x:c r="E10" s="16" t="str">
        <x:v>Cliniques, établissements privés sanitaires et médico-sociaux commerciaux, certains EHPAD privés</x:v>
      </x:c>
      <x:c r="F10" s="16" t="str">
        <x:v>Personnel salarié par l'établissement privé de santé, IDCC 2264</x:v>
      </x:c>
      <x:c r="G10" s="16" t="str">
        <x:v>Cycles, nuits, dimanches/JF, repos, congés, RTT, sujétions, astreintes, primes</x:v>
      </x:c>
      <x:c r="H10" s="16" t="n">
        <x:v>1</x:v>
      </x:c>
      <x:c r="I10" s="16" t="str">
        <x:v>https://www.legifrance.gouv.fr/conv_coll/id/KALICONT000005635813</x:v>
      </x:c>
      <x:c r="J10" s="16" t="str">
        <x:v>Pour cuisine/restauration interne non externalisée.</x:v>
      </x:c>
    </x:row>
    <x:row r="11" ht="15" hidden="0" customHeight="1">
      <x:c r="A11" s="16" t="str">
        <x:v>CCN_FEHAP_0029</x:v>
      </x:c>
      <x:c r="B11" s="16" t="str">
        <x:v>Privé non lucratif</x:v>
      </x:c>
      <x:c r="C11" s="16" t="str">
        <x:v>0029</x:v>
      </x:c>
      <x:c r="D11" s="16" t="str">
        <x:v>Établissements privés d'hospitalisation, soins, cure et garde à but non lucratif (FEHAP 51)</x:v>
      </x:c>
      <x:c r="E11" s="16" t="str">
        <x:v>Hôpitaux/établissements privés associatifs, ESPIC, structures non lucratives</x:v>
      </x:c>
      <x:c r="F11" s="16" t="str">
        <x:v>IDCC 29/0029, employeur FEHAP</x:v>
      </x:c>
      <x:c r="G11" s="16" t="str">
        <x:v>Congés, repos, cycles, sujétions, nuits/JF, RTT, absences conventionnelles</x:v>
      </x:c>
      <x:c r="H11" s="16" t="n">
        <x:v>1</x:v>
      </x:c>
      <x:c r="I11" s="16" t="str">
        <x:v>https://www.legifrance.gouv.fr/conv_coll/id/KALICONT000005635234</x:v>
      </x:c>
      <x:c r="J11" s="16" t="str">
        <x:v>Pour hôpitaux privés non lucratifs.</x:v>
      </x:c>
    </x:row>
    <x:row r="12" ht="15" hidden="0" customHeight="1">
      <x:c r="A12" s="16" t="str">
        <x:v>REGIME_FPH</x:v>
      </x:c>
      <x:c r="B12" s="16" t="str">
        <x:v>Public</x:v>
      </x:c>
      <x:c r="C12" s="16" t="str">
        <x:v>N/A</x:v>
      </x:c>
      <x:c r="D12" s="16" t="str">
        <x:v>Fonction publique hospitalière</x:v>
      </x:c>
      <x:c r="E12" s="16" t="str">
        <x:v>Hôpitaux publics, EHPAD publics, établissements publics sanitaires/médico-sociaux</x:v>
      </x:c>
      <x:c r="F12" s="16" t="str">
        <x:v>Employeur public hospitalier, agent titulaire/stagiaire/contractuel public</x:v>
      </x:c>
      <x:c r="G12" s="16" t="str">
        <x:v>Congés annuels, RTT, cycles, repos FPH, HS/IHTS, ASA locales, CET, sujétions nuit/JF</x:v>
      </x:c>
      <x:c r="H12" s="16" t="n">
        <x:v>1</x:v>
      </x:c>
      <x:c r="I12" s="16" t="str">
        <x:v>https://www.service-public.gouv.fr/particuliers/vosdroits/F573</x:v>
      </x:c>
      <x:c r="J12" s="16" t="str">
        <x:v>Pas de convention collective nationale : statut public + règles établissement.</x:v>
      </x:c>
    </x:row>
    <x:row r="13" ht="15" hidden="0" customHeight="1">
      <x:c r="A13" s="16" t="str">
        <x:v>REGIME_FPT</x:v>
      </x:c>
      <x:c r="B13" s="16" t="str">
        <x:v>Public</x:v>
      </x:c>
      <x:c r="C13" s="16" t="str">
        <x:v>N/A</x:v>
      </x:c>
      <x:c r="D13" s="16" t="str">
        <x:v>Fonction publique territoriale</x:v>
      </x:c>
      <x:c r="E13" s="16" t="str">
        <x:v>Cantines scolaires municipales, régies, campings municipaux, restaurants administratifs locaux</x:v>
      </x:c>
      <x:c r="F13" s="16" t="str">
        <x:v>Collectivité territoriale ou établissement public local</x:v>
      </x:c>
      <x:c r="G13" s="16" t="str">
        <x:v>Congés annuels, RTT, cycles, ASA locales, CET, temps partiel, astreintes, IHTS</x:v>
      </x:c>
      <x:c r="H13" s="16" t="n">
        <x:v>1</x:v>
      </x:c>
      <x:c r="I13" s="16" t="str">
        <x:v>https://www.service-public.gouv.fr/particuliers/vosdroits/N20276</x:v>
      </x:c>
      <x:c r="J13" s="16" t="str">
        <x:v>Paramétrage local indispensable.</x:v>
      </x:c>
    </x:row>
    <x:row r="14" ht="15" hidden="0" customHeight="1">
      <x:c r="A14" s="16" t="str">
        <x:v>REGIME_FPE</x:v>
      </x:c>
      <x:c r="B14" s="16" t="str">
        <x:v>Public</x:v>
      </x:c>
      <x:c r="C14" s="16" t="str">
        <x:v>N/A</x:v>
      </x:c>
      <x:c r="D14" s="16" t="str">
        <x:v>Fonction publique d'État</x:v>
      </x:c>
      <x:c r="E14" s="16" t="str">
        <x:v>Restaurants administratifs d'État, établissements publics nationaux</x:v>
      </x:c>
      <x:c r="F14" s="16" t="str">
        <x:v>Employeur public d'État</x:v>
      </x:c>
      <x:c r="G14" s="16" t="str">
        <x:v>Congés annuels, RTT, cycles, ASA, CET, astreintes, sujétions</x:v>
      </x:c>
      <x:c r="H14" s="16" t="n">
        <x:v>3</x:v>
      </x:c>
      <x:c r="I14" s="16" t="str">
        <x:v>https://www.service-public.gouv.fr/particuliers/vosdroits/N20276</x:v>
      </x:c>
      <x:c r="J14" s="16" t="str">
        <x:v>Moins fréquent pour Toquehub mais à prévoir.</x:v>
      </x:c>
    </x:row>
    <x:row r="15" ht="15" hidden="0" customHeight="1">
      <x:c r="A15" s="16" t="str">
        <x:v>CCN_A_ROUTER_LEGACY_HOTELS_CHAIN</x:v>
      </x:c>
      <x:c r="B15" s="16" t="str">
        <x:v>Privé</x:v>
      </x:c>
      <x:c r="C15" s="16" t="str">
        <x:v>800 / 575 / 1253 / 1232 selon bulletin</x:v>
      </x:c>
      <x:c r="D15" s="16" t="str">
        <x:v>Conventions historiques/locales hôtels/restaurants/Outre-mer</x:v>
      </x:c>
      <x:c r="E15" s="16" t="str">
        <x:v>Chaînes d'hôtels/restaurants, hôtels Guadeloupe, conventions locales/historiques</x:v>
      </x:c>
      <x:c r="F15" s="16" t="str">
        <x:v>IDCC présent sur DSN/bulletin ou contrat</x:v>
      </x:c>
      <x:c r="G15" s="16" t="str">
        <x:v>À vérifier : congés, JF, primes, classifications, temps de travail</x:v>
      </x:c>
      <x:c r="H15" s="16" t="n">
        <x:v>3</x:v>
      </x:c>
      <x:c r="I15" s="16" t="str">
        <x:v>https://www.legifrance.gouv.fr/liste/idcc</x:v>
      </x:c>
      <x:c r="J15" s="16" t="str">
        <x:v>À maintenir comme table de correspondance plutôt que supposer HCR.</x:v>
      </x:c>
    </x:row>
  </x:sheetData>
  <x:pageMargins left="0.7" right="0.7" top="0.75" bottom="0.75" header="0.3" footer="0.3"/>
  <x:tableParts count="1">
    <x:tablePart xmlns:r="http://schemas.openxmlformats.org/officeDocument/2006/relationships" r:id="Rbdfd664ed86c46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18" hidden="0" customWidth="1"/>
    <x:col min="5" max="5" width="60" hidden="0" customWidth="1"/>
    <x:col min="6" max="6" width="42" hidden="0" customWidth="1"/>
    <x:col min="7" max="7" width="16" hidden="0" customWidth="1"/>
    <x:col min="8" max="8" width="18" hidden="0" customWidth="1"/>
    <x:col min="9" max="9" width="24" hidden="0" customWidth="1"/>
    <x:col min="10" max="10" width="42" hidden="0" customWidth="1"/>
    <x:col min="11" max="11" width="60" hidden="0" customWidth="1"/>
    <x:col min="12" max="12" width="46" hidden="0" customWidth="1"/>
  </x:cols>
  <x:sheetData>
    <x:row r="1" ht="15" hidden="0" customHeight="1">
      <x:c r="A1" s="13" t="str">
        <x:v>right_id</x:v>
      </x:c>
      <x:c r="B1" s="13" t="str">
        <x:v>famille</x:v>
      </x:c>
      <x:c r="C1" s="13" t="str">
        <x:v>libelle</x:v>
      </x:c>
      <x:c r="D1" s="13" t="str">
        <x:v>statut</x:v>
      </x:c>
      <x:c r="E1" s="13" t="str">
        <x:v>droit_base</x:v>
      </x:c>
      <x:c r="F1" s="13" t="str">
        <x:v>condition_declencheur</x:v>
      </x:c>
      <x:c r="G1" s="13" t="str">
        <x:v>unite</x:v>
      </x:c>
      <x:c r="H1" s="13" t="str">
        <x:v>remunere</x:v>
      </x:c>
      <x:c r="I1" s="13" t="str">
        <x:v>compteur_planning</x:v>
      </x:c>
      <x:c r="J1" s="13" t="str">
        <x:v>parametres_a_prevoir</x:v>
      </x:c>
      <x:c r="K1" s="13" t="str">
        <x:v>source_url</x:v>
      </x:c>
      <x:c r="L1" s="13" t="str">
        <x:v>commentaire_integration</x:v>
      </x:c>
    </x:row>
    <x:row r="2" ht="15" hidden="0" customHeight="1">
      <x:c r="A2" s="16" t="str">
        <x:v>CP_ACQUISITION</x:v>
      </x:c>
      <x:c r="B2" s="16" t="str">
        <x:v>Congés payés</x:v>
      </x:c>
      <x:c r="C2" s="16" t="str">
        <x:v>Acquisition légale des congés payés</x:v>
      </x:c>
      <x:c r="D2" s="16" t="str">
        <x:v>Commun privé</x:v>
      </x:c>
      <x:c r="E2" s="16" t="str">
        <x:v>2,5 jours ouvrables par mois, 30 jours ouvrables / 5 semaines pour une année complète</x:v>
      </x:c>
      <x:c r="F2" s="16" t="str">
        <x:v>Dès embauche, temps plein ou temps partiel</x:v>
      </x:c>
      <x:c r="G2" s="16" t="str">
        <x:v>jour ouvrable</x:v>
      </x:c>
      <x:c r="H2" s="16" t="str">
        <x:v>Oui</x:v>
      </x:c>
      <x:c r="I2" s="16" t="str">
        <x:v>CP</x:v>
      </x:c>
      <x:c r="J2" s="16" t="str">
        <x:v>Période référence ; ouvrables/ouvrés ; arrondi supérieur</x:v>
      </x:c>
      <x:c r="K2" s="16" t="str">
        <x:v>https://www.service-public.gouv.fr/particuliers/vosdroits/F2258</x:v>
      </x:c>
      <x:c r="L2" s="16" t="str">
        <x:v>Socle commun, puis appliquer accord/convention plus favorable.</x:v>
      </x:c>
    </x:row>
    <x:row r="3" ht="15" hidden="0" customHeight="1">
      <x:c r="A3" s="16" t="str">
        <x:v>CP_MALADIE_NON_PRO</x:v>
      </x:c>
      <x:c r="B3" s="16" t="str">
        <x:v>Congés payés</x:v>
      </x:c>
      <x:c r="C3" s="16" t="str">
        <x:v>Acquisition CP pendant maladie/accident non professionnel</x:v>
      </x:c>
      <x:c r="D3" s="16" t="str">
        <x:v>Commun privé</x:v>
      </x:c>
      <x:c r="E3" s="16" t="str">
        <x:v>2 jours ouvrables par mois pendant arrêt, maximum 24 jours ouvrables par période de référence</x:v>
      </x:c>
      <x:c r="F3" s="16" t="str">
        <x:v>Arrêt maladie ou accident non professionnel</x:v>
      </x:c>
      <x:c r="G3" s="16" t="str">
        <x:v>jour ouvrable</x:v>
      </x:c>
      <x:c r="H3" s="16" t="str">
        <x:v>Oui à la prise</x:v>
      </x:c>
      <x:c r="I3" s="16" t="str">
        <x:v>CP_MALADIE</x:v>
      </x:c>
      <x:c r="J3" s="16" t="str">
        <x:v>Max annuel ; report 15 mois ; information salarié</x:v>
      </x:c>
      <x:c r="K3" s="16" t="str">
        <x:v>https://www.service-public.gouv.fr/particuliers/vosdroits/F37482</x:v>
      </x:c>
      <x:c r="L3" s="16" t="str">
        <x:v>Règle récente à intégrer dans les compteurs CP.</x:v>
      </x:c>
    </x:row>
    <x:row r="4" ht="15" hidden="0" customHeight="1">
      <x:c r="A4" s="16" t="str">
        <x:v>CP_REPORT_MALADIE</x:v>
      </x:c>
      <x:c r="B4" s="16" t="str">
        <x:v>Congés payés</x:v>
      </x:c>
      <x:c r="C4" s="16" t="str">
        <x:v>Report CP non pris du fait d'un arrêt maladie</x:v>
      </x:c>
      <x:c r="D4" s="16" t="str">
        <x:v>Commun privé</x:v>
      </x:c>
      <x:c r="E4" s="16" t="str">
        <x:v>Report possible 15 mois selon situation et information par l'employeur</x:v>
      </x:c>
      <x:c r="F4" s="16" t="str">
        <x:v>CP non pris à cause de l'arrêt</x:v>
      </x:c>
      <x:c r="G4" s="16" t="str">
        <x:v>mois</x:v>
      </x:c>
      <x:c r="H4" s="16" t="str">
        <x:v>N/A</x:v>
      </x:c>
      <x:c r="I4" s="16" t="str">
        <x:v>CP_REPORT</x:v>
      </x:c>
      <x:c r="J4" s="16" t="str">
        <x:v>Point de départ du report ; date information salarié</x:v>
      </x:c>
      <x:c r="K4" s="16" t="str">
        <x:v>https://www.service-public.gouv.fr/particuliers/vosdroits/F2258</x:v>
      </x:c>
      <x:c r="L4" s="16" t="str">
        <x:v>Nécessite champs date_reprise et date_information_droits.</x:v>
      </x:c>
    </x:row>
    <x:row r="5" ht="15" hidden="0" customHeight="1">
      <x:c r="A5" s="16" t="str">
        <x:v>CP_FRACTIONNEMENT</x:v>
      </x:c>
      <x:c r="B5" s="16" t="str">
        <x:v>Congés payés</x:v>
      </x:c>
      <x:c r="C5" s="16" t="str">
        <x:v>Jours de fractionnement</x:v>
      </x:c>
      <x:c r="D5" s="16" t="str">
        <x:v>Commun privé</x:v>
      </x:c>
      <x:c r="E5" s="16" t="str">
        <x:v>1 jour si 3 à 5 jours du congé principal hors 1er mai-31 octobre ; 2 jours si 6 jours ou plus</x:v>
      </x:c>
      <x:c r="F5" s="16" t="str">
        <x:v>Congé principal fractionné, sauf accord/renonciation applicable</x:v>
      </x:c>
      <x:c r="G5" s="16" t="str">
        <x:v>jour ouvrable</x:v>
      </x:c>
      <x:c r="H5" s="16" t="str">
        <x:v>Oui</x:v>
      </x:c>
      <x:c r="I5" s="16" t="str">
        <x:v>CP_FRACTIONNEMENT</x:v>
      </x:c>
      <x:c r="J5" s="16" t="str">
        <x:v>Période légale ; renonciation/accord ; calcul hors 5e semaine</x:v>
      </x:c>
      <x:c r="K5" s="16" t="str">
        <x:v>https://www.service-public.gouv.fr/particuliers/vosdroits/F2258</x:v>
      </x:c>
      <x:c r="L5" s="16" t="str">
        <x:v>À coder comme règle conditionnelle avec override convention/accord.</x:v>
      </x:c>
    </x:row>
    <x:row r="6" ht="15" hidden="0" customHeight="1">
      <x:c r="A6" s="16" t="str">
        <x:v>CP_ENFANT_CHARGE</x:v>
      </x:c>
      <x:c r="B6" s="16" t="str">
        <x:v>Congés payés</x:v>
      </x:c>
      <x:c r="C6" s="16" t="str">
        <x:v>Jours supplémentaires pour enfant à charge</x:v>
      </x:c>
      <x:c r="D6" s="16" t="str">
        <x:v>Commun privé</x:v>
      </x:c>
      <x:c r="E6" s="16" t="str">
        <x:v>2 jours par enfant à charge sous conditions, dans la limite de 30 jours ouvrables</x:v>
      </x:c>
      <x:c r="F6" s="16" t="str">
        <x:v>Salarié avec enfant à charge ; règles âge/handicap ; cas -21 ans spécifique</x:v>
      </x:c>
      <x:c r="G6" s="16" t="str">
        <x:v>jour ouvrable</x:v>
      </x:c>
      <x:c r="H6" s="16" t="str">
        <x:v>Oui si CP acquis correspondant</x:v>
      </x:c>
      <x:c r="I6" s="16" t="str">
        <x:v>CP_ENFANT</x:v>
      </x:c>
      <x:c r="J6" s="16" t="str">
        <x:v>Âge salarié au 30 avril ; âge enfant ; handicap ; plafond</x:v>
      </x:c>
      <x:c r="K6" s="16" t="str">
        <x:v>https://www.service-public.gouv.fr/particuliers/vosdroits/F2258</x:v>
      </x:c>
      <x:c r="L6" s="16" t="str">
        <x:v>Important pour jeunes salariés et parents.</x:v>
      </x:c>
    </x:row>
    <x:row r="7" ht="15" hidden="0" customHeight="1">
      <x:c r="A7" s="16" t="str">
        <x:v>CP_MAX_CONSECUTIF</x:v>
      </x:c>
      <x:c r="B7" s="16" t="str">
        <x:v>Congés payés</x:v>
      </x:c>
      <x:c r="C7" s="16" t="str">
        <x:v>Limite de congé principal pris en une fois</x:v>
      </x:c>
      <x:c r="D7" s="16" t="str">
        <x:v>Commun privé</x:v>
      </x:c>
      <x:c r="E7" s="16" t="str">
        <x:v>Congé principal limité à 24 jours ouvrables consécutifs, sauf exceptions/accord employeur</x:v>
      </x:c>
      <x:c r="F7" s="16" t="str">
        <x:v>Demande de congé &gt; 24 jours ouvrables</x:v>
      </x:c>
      <x:c r="G7" s="16" t="str">
        <x:v>jour ouvrable</x:v>
      </x:c>
      <x:c r="H7" s="16" t="str">
        <x:v>N/A</x:v>
      </x:c>
      <x:c r="I7" s="16" t="str">
        <x:v>VALIDATION_CP</x:v>
      </x:c>
      <x:c r="J7" s="16" t="str">
        <x:v>Dérogations : contraintes géographiques, présence enfant/aidant, accord employeur</x:v>
      </x:c>
      <x:c r="K7" s="16" t="str">
        <x:v>https://www.service-public.gouv.fr/particuliers/vosdroits/F2258</x:v>
      </x:c>
      <x:c r="L7" s="16" t="str">
        <x:v>Règle de validation planning.</x:v>
      </x:c>
    </x:row>
    <x:row r="8" ht="15" hidden="0" customHeight="1">
      <x:c r="A8" s="16" t="str">
        <x:v>JF_1MAI_CHOME</x:v>
      </x:c>
      <x:c r="B8" s="16" t="str">
        <x:v>Jours fériés</x:v>
      </x:c>
      <x:c r="C8" s="16" t="str">
        <x:v>1er mai chômé et payé</x:v>
      </x:c>
      <x:c r="D8" s="16" t="str">
        <x:v>Commun privé</x:v>
      </x:c>
      <x:c r="E8" s="16" t="str">
        <x:v>1er mai jour férié et chômé ; aucune réduction de salaire</x:v>
      </x:c>
      <x:c r="F8" s="16" t="str">
        <x:v>Jour 1er mai non travaillé</x:v>
      </x:c>
      <x:c r="G8" s="16" t="str">
        <x:v>jour</x:v>
      </x:c>
      <x:c r="H8" s="16" t="str">
        <x:v>Oui</x:v>
      </x:c>
      <x:c r="I8" s="16" t="str">
        <x:v>JF</x:v>
      </x:c>
      <x:c r="J8" s="16" t="str">
        <x:v>Exceptions établissements/services ne pouvant interrompre activité</x:v>
      </x:c>
      <x:c r="K8" s="16" t="str">
        <x:v>https://www.service-public.gouv.fr/particuliers/vosdroits/F2405</x:v>
      </x:c>
      <x:c r="L8" s="16" t="str">
        <x:v>HCR peut travailler le 1er mai avec double rémunération.</x:v>
      </x:c>
    </x:row>
    <x:row r="9" ht="15" hidden="0" customHeight="1">
      <x:c r="A9" s="16" t="str">
        <x:v>JF_1MAI_TRAVAIL</x:v>
      </x:c>
      <x:c r="B9" s="16" t="str">
        <x:v>Jours fériés</x:v>
      </x:c>
      <x:c r="C9" s="16" t="str">
        <x:v>Travail du 1er mai</x:v>
      </x:c>
      <x:c r="D9" s="16" t="str">
        <x:v>Commun privé</x:v>
      </x:c>
      <x:c r="E9" s="16" t="str">
        <x:v>Si travaillé : doublement de la rémunération</x:v>
      </x:c>
      <x:c r="F9" s="16" t="str">
        <x:v>Heures travaillées le 1er mai</x:v>
      </x:c>
      <x:c r="G9" s="16" t="str">
        <x:v>heure/jour</x:v>
      </x:c>
      <x:c r="H9" s="16" t="str">
        <x:v>Oui majoré</x:v>
      </x:c>
      <x:c r="I9" s="16" t="str">
        <x:v>JF_1MAI</x:v>
      </x:c>
      <x:c r="J9" s="16" t="str">
        <x:v>Calcul paie ; cumul avec règles conventionnelles si plus favorables</x:v>
      </x:c>
      <x:c r="K9" s="16" t="str">
        <x:v>https://www.service-public.gouv.fr/particuliers/vosdroits/F2405</x:v>
      </x:c>
      <x:c r="L9" s="16" t="str">
        <x:v>Règle critique en hôtellerie-restauration.</x:v>
      </x:c>
    </x:row>
    <x:row r="10" ht="15" hidden="0" customHeight="1">
      <x:c r="A10" s="16" t="str">
        <x:v>JF_ORDINAIRE_CHOME</x:v>
      </x:c>
      <x:c r="B10" s="16" t="str">
        <x:v>Jours fériés</x:v>
      </x:c>
      <x:c r="C10" s="16" t="str">
        <x:v>Jours fériés ordinaires chômés</x:v>
      </x:c>
      <x:c r="D10" s="16" t="str">
        <x:v>Commun privé</x:v>
      </x:c>
      <x:c r="E10" s="16" t="str">
        <x:v>Le chômage d'un jour férié ne peut entraîner aucune perte de salaire après 3 mois d'ancienneté</x:v>
      </x:c>
      <x:c r="F10" s="16" t="str">
        <x:v>Jour férié ordinaire décidé chômé</x:v>
      </x:c>
      <x:c r="G10" s="16" t="str">
        <x:v>jour</x:v>
      </x:c>
      <x:c r="H10" s="16" t="str">
        <x:v>Oui sous conditions</x:v>
      </x:c>
      <x:c r="I10" s="16" t="str">
        <x:v>JF</x:v>
      </x:c>
      <x:c r="J10" s="16" t="str">
        <x:v>Ancienneté 3 mois ; saisonniers cumulés ; exceptions</x:v>
      </x:c>
      <x:c r="K10" s="16" t="str">
        <x:v>https://www.service-public.gouv.fr/particuliers/vosdroits/F2405</x:v>
      </x:c>
      <x:c r="L10" s="16" t="str">
        <x:v>Ne signifie pas que tous les jours fériés sont chômés : convention/accord fixe souvent.</x:v>
      </x:c>
    </x:row>
    <x:row r="11" ht="15" hidden="0" customHeight="1">
      <x:c r="A11" s="16" t="str">
        <x:v>PONT_RECUPERATION</x:v>
      </x:c>
      <x:c r="B11" s="16" t="str">
        <x:v>Jours fériés</x:v>
      </x:c>
      <x:c r="C11" s="16" t="str">
        <x:v>Pont et récupération</x:v>
      </x:c>
      <x:c r="D11" s="16" t="str">
        <x:v>Commun privé</x:v>
      </x:c>
      <x:c r="E11" s="16" t="str">
        <x:v>Pont possible ; heures non travaillées récupérables dans les 12 mois, sans majoration</x:v>
      </x:c>
      <x:c r="F11" s="16" t="str">
        <x:v>Jour ouvrable chômé entre JF et repos/congé</x:v>
      </x:c>
      <x:c r="G11" s="16" t="str">
        <x:v>heure</x:v>
      </x:c>
      <x:c r="H11" s="16" t="str">
        <x:v>Non majoré</x:v>
      </x:c>
      <x:c r="I11" s="16" t="str">
        <x:v>RECUP_PONT</x:v>
      </x:c>
      <x:c r="J11" s="16" t="str">
        <x:v>Fenêtre 12 mois ; accord/employeur</x:v>
      </x:c>
      <x:c r="K11" s="16" t="str">
        <x:v>https://www.service-public.gouv.fr/particuliers/vosdroits/F2405</x:v>
      </x:c>
      <x:c r="L11" s="16" t="str">
        <x:v>À séparer des récupérations d'heures supplémentaires.</x:v>
      </x:c>
    </x:row>
    <x:row r="12" ht="15" hidden="0" customHeight="1">
      <x:c r="A12" s="16" t="str">
        <x:v>JOURNEE_SOLIDARITE</x:v>
      </x:c>
      <x:c r="B12" s="16" t="str">
        <x:v>Temps de travail</x:v>
      </x:c>
      <x:c r="C12" s="16" t="str">
        <x:v>Journée de solidarité</x:v>
      </x:c>
      <x:c r="D12" s="16" t="str">
        <x:v>Commun privé</x:v>
      </x:c>
      <x:c r="E12" s="16" t="str">
        <x:v>Jusqu'à 7 heures précédemment non travaillées ; non considérées comme HS</x:v>
      </x:c>
      <x:c r="F12" s="16" t="str">
        <x:v>Modalités fixées par accord/employeur ; prorata temps partiel</x:v>
      </x:c>
      <x:c r="G12" s="16" t="str">
        <x:v>heure</x:v>
      </x:c>
      <x:c r="H12" s="16" t="str">
        <x:v>Non supplémentaire</x:v>
      </x:c>
      <x:c r="I12" s="16" t="str">
        <x:v>J_SOLIDARITE</x:v>
      </x:c>
      <x:c r="J12" s="16" t="str">
        <x:v>Jour choisi ; prorata ; Alsace-Moselle</x:v>
      </x:c>
      <x:c r="K12" s="16" t="str">
        <x:v>https://www.service-public.gouv.fr/particuliers/vosdroits/F2405</x:v>
      </x:c>
      <x:c r="L12" s="16" t="str">
        <x:v>Créer un compteur dédié pour éviter de générer des HS.</x:v>
      </x:c>
    </x:row>
    <x:row r="13" ht="15" hidden="0" customHeight="1">
      <x:c r="A13" s="16" t="str">
        <x:v>HS_DECLENCHEMENT</x:v>
      </x:c>
      <x:c r="B13" s="16" t="str">
        <x:v>Temps de travail</x:v>
      </x:c>
      <x:c r="C13" s="16" t="str">
        <x:v>Heures supplémentaires</x:v>
      </x:c>
      <x:c r="D13" s="16" t="str">
        <x:v>Commun privé</x:v>
      </x:c>
      <x:c r="E13" s="16" t="str">
        <x:v>Heures demandées au-delà de 35h/semaine ou 1 607h/an selon organisation</x:v>
      </x:c>
      <x:c r="F13" s="16" t="str">
        <x:v>Dépassement durée légale/référence</x:v>
      </x:c>
      <x:c r="G13" s="16" t="str">
        <x:v>heure</x:v>
      </x:c>
      <x:c r="H13" s="16" t="str">
        <x:v>Oui majoré ou repos</x:v>
      </x:c>
      <x:c r="I13" s="16" t="str">
        <x:v>HS</x:v>
      </x:c>
      <x:c r="J13" s="16" t="str">
        <x:v>Seuil convention/annualisation ; accord entreprise ; contingent</x:v>
      </x:c>
      <x:c r="K13" s="16" t="str">
        <x:v>https://www.service-public.gouv.fr/particuliers/vosdroits/F2391</x:v>
      </x:c>
      <x:c r="L13" s="16" t="str">
        <x:v>Moteur doit connaître période de décompte.</x:v>
      </x:c>
    </x:row>
    <x:row r="14" ht="15" hidden="0" customHeight="1">
      <x:c r="A14" s="16" t="str">
        <x:v>HS_REPOS_EQUIVALENT</x:v>
      </x:c>
      <x:c r="B14" s="16" t="str">
        <x:v>Temps de travail</x:v>
      </x:c>
      <x:c r="C14" s="16" t="str">
        <x:v>Repos compensateur de remplacement</x:v>
      </x:c>
      <x:c r="D14" s="16" t="str">
        <x:v>Commun privé</x:v>
      </x:c>
      <x:c r="E14" s="16" t="str">
        <x:v>Les heures supplémentaires peuvent donner lieu à rémunération majorée ou repos compensateur équivalent</x:v>
      </x:c>
      <x:c r="F14" s="16" t="str">
        <x:v>Accord/usage remplaçant paiement par repos</x:v>
      </x:c>
      <x:c r="G14" s="16" t="str">
        <x:v>heure/jour</x:v>
      </x:c>
      <x:c r="H14" s="16" t="str">
        <x:v>Repos payé</x:v>
      </x:c>
      <x:c r="I14" s="16" t="str">
        <x:v>RCR</x:v>
      </x:c>
      <x:c r="J14" s="16" t="str">
        <x:v>Taux majoration converti en repos ; ex. 1h à +50% = 1h30</x:v>
      </x:c>
      <x:c r="K14" s="16" t="str">
        <x:v>https://www.service-public.gouv.fr/particuliers/vosdroits/F2391</x:v>
      </x:c>
      <x:c r="L14" s="16" t="str">
        <x:v>À relier aux compteurs de récupération.</x:v>
      </x:c>
    </x:row>
    <x:row r="15" ht="15" hidden="0" customHeight="1">
      <x:c r="A15" s="16" t="str">
        <x:v>RTT</x:v>
      </x:c>
      <x:c r="B15" s="16" t="str">
        <x:v>Temps de travail</x:v>
      </x:c>
      <x:c r="C15" s="16" t="str">
        <x:v>Réduction du temps de travail</x:v>
      </x:c>
      <x:c r="D15" s="16" t="str">
        <x:v>Commun privé</x:v>
      </x:c>
      <x:c r="E15" s="16" t="str">
        <x:v>Journées ou demi-journées de repos pour salariés travaillant plus de 35h/semaine selon accord</x:v>
      </x:c>
      <x:c r="F15" s="16" t="str">
        <x:v>Organisation &gt;35h avec RTT</x:v>
      </x:c>
      <x:c r="G15" s="16" t="str">
        <x:v>jour/demi-jour</x:v>
      </x:c>
      <x:c r="H15" s="16" t="str">
        <x:v>Oui</x:v>
      </x:c>
      <x:c r="I15" s="16" t="str">
        <x:v>RTT</x:v>
      </x:c>
      <x:c r="J15" s="16" t="str">
        <x:v>Accord RTT ; forfait jours ; prorata absences</x:v>
      </x:c>
      <x:c r="K15" s="16" t="str">
        <x:v>https://www.service-public.gouv.fr/particuliers/vosdroits/F34151</x:v>
      </x:c>
      <x:c r="L15" s="16" t="str">
        <x:v>Variable par entreprise : pas une règle unique.</x:v>
      </x:c>
    </x:row>
    <x:row r="16" ht="15" hidden="0" customHeight="1">
      <x:c r="A16" s="16" t="str">
        <x:v>TEMPS_PARTIEL</x:v>
      </x:c>
      <x:c r="B16" s="16" t="str">
        <x:v>Temps de travail</x:v>
      </x:c>
      <x:c r="C16" s="16" t="str">
        <x:v>Temps partiel et heures complémentaires</x:v>
      </x:c>
      <x:c r="D16" s="16" t="str">
        <x:v>Commun privé</x:v>
      </x:c>
      <x:c r="E16" s="16" t="str">
        <x:v>Contrat inférieur à 35h/semaine, 151,67h/mois ou 1 607h/an ; heures complémentaires selon contrat/accord</x:v>
      </x:c>
      <x:c r="F16" s="16" t="str">
        <x:v>Contrat à temps partiel</x:v>
      </x:c>
      <x:c r="G16" s="16" t="str">
        <x:v>heure</x:v>
      </x:c>
      <x:c r="H16" s="16" t="str">
        <x:v>Oui</x:v>
      </x:c>
      <x:c r="I16" s="16" t="str">
        <x:v>HC</x:v>
      </x:c>
      <x:c r="J16" s="16" t="str">
        <x:v>Durée contractuelle ; limites HC ; majorations convention/accord</x:v>
      </x:c>
      <x:c r="K16" s="16" t="str">
        <x:v>https://www.service-public.gouv.fr/particuliers/vosdroits/F32428</x:v>
      </x:c>
      <x:c r="L16" s="16" t="str">
        <x:v>Important pour restauration rapide/HCR.</x:v>
      </x:c>
    </x:row>
    <x:row r="17" ht="15" hidden="0" customHeight="1">
      <x:c r="A17" s="16" t="str">
        <x:v>REPOS_QUOTIDIEN</x:v>
      </x:c>
      <x:c r="B17" s="16" t="str">
        <x:v>Repos</x:v>
      </x:c>
      <x:c r="C17" s="16" t="str">
        <x:v>Repos quotidien</x:v>
      </x:c>
      <x:c r="D17" s="16" t="str">
        <x:v>Commun privé</x:v>
      </x:c>
      <x:c r="E17" s="16" t="str">
        <x:v>Au moins 11 heures consécutives entre deux journées de travail, sauf dérogations</x:v>
      </x:c>
      <x:c r="F17" s="16" t="str">
        <x:v>Fin de poste -&gt; reprise suivante</x:v>
      </x:c>
      <x:c r="G17" s="16" t="str">
        <x:v>heure</x:v>
      </x:c>
      <x:c r="H17" s="16" t="str">
        <x:v>N/A</x:v>
      </x:c>
      <x:c r="I17" s="16" t="str">
        <x:v>VALIDATION_REPOS</x:v>
      </x:c>
      <x:c r="J17" s="16" t="str">
        <x:v>Dérogations secteur/accord ; jeunes travailleurs</x:v>
      </x:c>
      <x:c r="K17" s="16" t="str">
        <x:v>https://www.service-public.gouv.fr/particuliers/vosdroits/F990</x:v>
      </x:c>
      <x:c r="L17" s="16" t="str">
        <x:v>Blocage planning automatique.</x:v>
      </x:c>
    </x:row>
    <x:row r="18" ht="15" hidden="0" customHeight="1">
      <x:c r="A18" s="16" t="str">
        <x:v>REPOS_HEBDOMADAIRE</x:v>
      </x:c>
      <x:c r="B18" s="16" t="str">
        <x:v>Repos</x:v>
      </x:c>
      <x:c r="C18" s="16" t="str">
        <x:v>Repos hebdomadaire</x:v>
      </x:c>
      <x:c r="D18" s="16" t="str">
        <x:v>Commun privé</x:v>
      </x:c>
      <x:c r="E18" s="16" t="str">
        <x:v>Pas plus de 6 jours de travail/semaine ; repos hebdomadaire au moins 35h consécutives sauf dérogation</x:v>
      </x:c>
      <x:c r="F18" s="16" t="str">
        <x:v>Cycle hebdomadaire</x:v>
      </x:c>
      <x:c r="G18" s="16" t="str">
        <x:v>heure/jour</x:v>
      </x:c>
      <x:c r="H18" s="16" t="str">
        <x:v>N/A</x:v>
      </x:c>
      <x:c r="I18" s="16" t="str">
        <x:v>VALIDATION_REPOS_HEBDO</x:v>
      </x:c>
      <x:c r="J18" s="16" t="str">
        <x:v>Dérogations HCR/continuité ; jours reportés</x:v>
      </x:c>
      <x:c r="K18" s="16" t="str">
        <x:v>https://www.service-public.gouv.fr/particuliers/vosdroits/F2327</x:v>
      </x:c>
      <x:c r="L18" s="16" t="str">
        <x:v>À combiner avec règles HCR/HPA/hôpitaux.</x:v>
      </x:c>
    </x:row>
    <x:row r="19" ht="15" hidden="0" customHeight="1">
      <x:c r="A19" s="16" t="str">
        <x:v>PAUSE_6H</x:v>
      </x:c>
      <x:c r="B19" s="16" t="str">
        <x:v>Repos</x:v>
      </x:c>
      <x:c r="C19" s="16" t="str">
        <x:v>Pause après 6h de travail</x:v>
      </x:c>
      <x:c r="D19" s="16" t="str">
        <x:v>Commun privé</x:v>
      </x:c>
      <x:c r="E19" s="16" t="str">
        <x:v>Au moins 20 minutes consécutives dès que 6h de travail de suite sont atteintes</x:v>
      </x:c>
      <x:c r="F19" s="16" t="str">
        <x:v>6h consécutives travaillées</x:v>
      </x:c>
      <x:c r="G19" s="16" t="str">
        <x:v>minute</x:v>
      </x:c>
      <x:c r="H19" s="16" t="str">
        <x:v>N/A</x:v>
      </x:c>
      <x:c r="I19" s="16" t="str">
        <x:v>VALIDATION_PAUSE</x:v>
      </x:c>
      <x:c r="J19" s="16" t="str">
        <x:v>Accord plus favorable ; mineurs : règle renforcée</x:v>
      </x:c>
      <x:c r="K19" s="16" t="str">
        <x:v>https://www.service-public.gouv.fr/particuliers/vosdroits/F18205</x:v>
      </x:c>
      <x:c r="L19" s="16" t="str">
        <x:v>À valider sur chaque shift.</x:v>
      </x:c>
    </x:row>
    <x:row r="20" ht="15" hidden="0" customHeight="1">
      <x:c r="A20" s="16" t="str">
        <x:v>ASTREINTE</x:v>
      </x:c>
      <x:c r="B20" s="16" t="str">
        <x:v>Temps de travail</x:v>
      </x:c>
      <x:c r="C20" s="16" t="str">
        <x:v>Astreinte</x:v>
      </x:c>
      <x:c r="D20" s="16" t="str">
        <x:v>Commun privé</x:v>
      </x:c>
      <x:c r="E20" s="16" t="str">
        <x:v>Période pendant laquelle le salarié reste disponible ; intervention = travail effectif ; compensation obligatoire selon accord/employeur</x:v>
      </x:c>
      <x:c r="F20" s="16" t="str">
        <x:v>Astreinte planifiée ou intervention</x:v>
      </x:c>
      <x:c r="G20" s="16" t="str">
        <x:v>heure</x:v>
      </x:c>
      <x:c r="H20" s="16" t="str">
        <x:v>Compensation/indemnité</x:v>
      </x:c>
      <x:c r="I20" s="16" t="str">
        <x:v>ASTREINTE</x:v>
      </x:c>
      <x:c r="J20" s="16" t="str">
        <x:v>Délai prévenance ; compensation ; repos après intervention</x:v>
      </x:c>
      <x:c r="K20" s="16" t="str">
        <x:v>https://www.service-public.gouv.fr/particuliers/vosdroits/F20873</x:v>
      </x:c>
      <x:c r="L20" s="16" t="str">
        <x:v>Pertinent hôtels/campings/maintenance.</x:v>
      </x:c>
    </x:row>
    <x:row r="21" ht="15" hidden="0" customHeight="1">
      <x:c r="A21" s="16" t="str">
        <x:v>ABS_MARIAGE_PACS</x:v>
      </x:c>
      <x:c r="B21" s="16" t="str">
        <x:v>Absences familiales</x:v>
      </x:c>
      <x:c r="C21" s="16" t="str">
        <x:v>Mariage ou PACS du salarié</x:v>
      </x:c>
      <x:c r="D21" s="16" t="str">
        <x:v>Commun privé</x:v>
      </x:c>
      <x:c r="E21" s="16" t="str">
        <x:v>4 jours ouvrables</x:v>
      </x:c>
      <x:c r="F21" s="16" t="str">
        <x:v>Événement familial justifié</x:v>
      </x:c>
      <x:c r="G21" s="16" t="str">
        <x:v>jour ouvrable</x:v>
      </x:c>
      <x:c r="H21" s="16" t="str">
        <x:v>Oui</x:v>
      </x:c>
      <x:c r="I21" s="16" t="str">
        <x:v>ABS_FAM_PAYEE</x:v>
      </x:c>
      <x:c r="J21" s="16" t="str">
        <x:v>Date événement ; justificatif ; accord plus favorable</x:v>
      </x:c>
      <x:c r="K21" s="16" t="str">
        <x:v>https://www.legifrance.gouv.fr/codes/article_lc/LEGIARTI000047864715</x:v>
      </x:c>
      <x:c r="L21" s="16" t="str">
        <x:v>Socle légal à comparer à la convention.</x:v>
      </x:c>
    </x:row>
    <x:row r="22" ht="15" hidden="0" customHeight="1">
      <x:c r="A22" s="16" t="str">
        <x:v>ABS_MARIAGE_ENFANT</x:v>
      </x:c>
      <x:c r="B22" s="16" t="str">
        <x:v>Absences familiales</x:v>
      </x:c>
      <x:c r="C22" s="16" t="str">
        <x:v>Mariage d'un enfant</x:v>
      </x:c>
      <x:c r="D22" s="16" t="str">
        <x:v>Commun privé</x:v>
      </x:c>
      <x:c r="E22" s="16" t="str">
        <x:v>1 jour ouvrable</x:v>
      </x:c>
      <x:c r="F22" s="16" t="str">
        <x:v>Mariage enfant</x:v>
      </x:c>
      <x:c r="G22" s="16" t="str">
        <x:v>jour ouvrable</x:v>
      </x:c>
      <x:c r="H22" s="16" t="str">
        <x:v>Oui</x:v>
      </x:c>
      <x:c r="I22" s="16" t="str">
        <x:v>ABS_FAM_PAYEE</x:v>
      </x:c>
      <x:c r="J22" s="16" t="str">
        <x:v>Justificatif</x:v>
      </x:c>
      <x:c r="K22" s="16" t="str">
        <x:v>https://www.legifrance.gouv.fr/codes/article_lc/LEGIARTI000047864715</x:v>
      </x:c>
      <x:c r="L22" s="16" t="str">
        <x:v>Socle légal.</x:v>
      </x:c>
    </x:row>
    <x:row r="23" ht="15" hidden="0" customHeight="1">
      <x:c r="A23" s="16" t="str">
        <x:v>ABS_NAISSANCE</x:v>
      </x:c>
      <x:c r="B23" s="16" t="str">
        <x:v>Absences familiales</x:v>
      </x:c>
      <x:c r="C23" s="16" t="str">
        <x:v>Naissance d'un enfant</x:v>
      </x:c>
      <x:c r="D23" s="16" t="str">
        <x:v>Commun privé</x:v>
      </x:c>
      <x:c r="E23" s="16" t="str">
        <x:v>3 jours ouvrables, à compter au choix du jour de naissance ou du premier jour ouvrable suivant</x:v>
      </x:c>
      <x:c r="F23" s="16" t="str">
        <x:v>Naissance d'un enfant</x:v>
      </x:c>
      <x:c r="G23" s="16" t="str">
        <x:v>jour ouvrable</x:v>
      </x:c>
      <x:c r="H23" s="16" t="str">
        <x:v>Oui</x:v>
      </x:c>
      <x:c r="I23" s="16" t="str">
        <x:v>ABS_NAISSANCE</x:v>
      </x:c>
      <x:c r="J23" s="16" t="str">
        <x:v>Non cumulable avec congé maternité pour même naissance ; cumul paternité</x:v>
      </x:c>
      <x:c r="K23" s="16" t="str">
        <x:v>https://www.legifrance.gouv.fr/codes/article_lc/LEGIARTI000047864715</x:v>
      </x:c>
      <x:c r="L23" s="16" t="str">
        <x:v>Socle légal.</x:v>
      </x:c>
    </x:row>
    <x:row r="24" ht="15" hidden="0" customHeight="1">
      <x:c r="A24" s="16" t="str">
        <x:v>ABS_ADOPTION_ARRIVEE</x:v>
      </x:c>
      <x:c r="B24" s="16" t="str">
        <x:v>Absences familiales</x:v>
      </x:c>
      <x:c r="C24" s="16" t="str">
        <x:v>Arrivée d'un enfant placé en vue d'adoption</x:v>
      </x:c>
      <x:c r="D24" s="16" t="str">
        <x:v>Commun privé</x:v>
      </x:c>
      <x:c r="E24" s="16" t="str">
        <x:v>3 jours ouvrables</x:v>
      </x:c>
      <x:c r="F24" s="16" t="str">
        <x:v>Arrivée enfant en vue adoption</x:v>
      </x:c>
      <x:c r="G24" s="16" t="str">
        <x:v>jour ouvrable</x:v>
      </x:c>
      <x:c r="H24" s="16" t="str">
        <x:v>Oui</x:v>
      </x:c>
      <x:c r="I24" s="16" t="str">
        <x:v>ABS_ADOPTION</x:v>
      </x:c>
      <x:c r="J24" s="16" t="str">
        <x:v>Justificatif</x:v>
      </x:c>
      <x:c r="K24" s="16" t="str">
        <x:v>https://www.legifrance.gouv.fr/codes/article_lc/LEGIARTI000047864715</x:v>
      </x:c>
      <x:c r="L24" s="16" t="str">
        <x:v>Socle légal.</x:v>
      </x:c>
    </x:row>
    <x:row r="25" ht="15" hidden="0" customHeight="1">
      <x:c r="A25" s="16" t="str">
        <x:v>ABS_DECES_ENFANT</x:v>
      </x:c>
      <x:c r="B25" s="16" t="str">
        <x:v>Absences familiales</x:v>
      </x:c>
      <x:c r="C25" s="16" t="str">
        <x:v>Décès d'un enfant</x:v>
      </x:c>
      <x:c r="D25" s="16" t="str">
        <x:v>Commun privé</x:v>
      </x:c>
      <x:c r="E25" s="16" t="str">
        <x:v>12 jours ouvrables ; 14 jours si enfant &lt;25 ans, enfant lui-même parent, ou personne &lt;25 ans à charge effective et permanente</x:v>
      </x:c>
      <x:c r="F25" s="16" t="str">
        <x:v>Décès enfant/personne à charge</x:v>
      </x:c>
      <x:c r="G25" s="16" t="str">
        <x:v>jour ouvrable</x:v>
      </x:c>
      <x:c r="H25" s="16" t="str">
        <x:v>Oui</x:v>
      </x:c>
      <x:c r="I25" s="16" t="str">
        <x:v>ABS_DECES</x:v>
      </x:c>
      <x:c r="J25" s="16" t="str">
        <x:v>Âge ; charge effective ; cumul congé de deuil éventuel à paramétrer</x:v>
      </x:c>
      <x:c r="K25" s="16" t="str">
        <x:v>https://www.legifrance.gouv.fr/codes/article_lc/LEGIARTI000047864715</x:v>
      </x:c>
      <x:c r="L25" s="16" t="str">
        <x:v>Bien distinguer de l'ancienneté/convention parfois moins favorable.</x:v>
      </x:c>
    </x:row>
    <x:row r="26" ht="15" hidden="0" customHeight="1">
      <x:c r="A26" s="16" t="str">
        <x:v>ABS_DECES_PROCHES</x:v>
      </x:c>
      <x:c r="B26" s="16" t="str">
        <x:v>Absences familiales</x:v>
      </x:c>
      <x:c r="C26" s="16" t="str">
        <x:v>Décès conjoint/PACS/concubin/parent/beau-parent/frère/sœur</x:v>
      </x:c>
      <x:c r="D26" s="16" t="str">
        <x:v>Commun privé</x:v>
      </x:c>
      <x:c r="E26" s="16" t="str">
        <x:v>3 jours ouvrables</x:v>
      </x:c>
      <x:c r="F26" s="16" t="str">
        <x:v>Décès proche listé</x:v>
      </x:c>
      <x:c r="G26" s="16" t="str">
        <x:v>jour ouvrable</x:v>
      </x:c>
      <x:c r="H26" s="16" t="str">
        <x:v>Oui</x:v>
      </x:c>
      <x:c r="I26" s="16" t="str">
        <x:v>ABS_DECES</x:v>
      </x:c>
      <x:c r="J26" s="16" t="str">
        <x:v>Lien familial ; justificatif</x:v>
      </x:c>
      <x:c r="K26" s="16" t="str">
        <x:v>https://www.legifrance.gouv.fr/codes/article_lc/LEGIARTI000047864715</x:v>
      </x:c>
      <x:c r="L26" s="16" t="str">
        <x:v>Socle légal.</x:v>
      </x:c>
    </x:row>
    <x:row r="27" ht="15" hidden="0" customHeight="1">
      <x:c r="A27" s="16" t="str">
        <x:v>ABS_ANNONCE_HANDICAP_ENFANT</x:v>
      </x:c>
      <x:c r="B27" s="16" t="str">
        <x:v>Absences familiales</x:v>
      </x:c>
      <x:c r="C27" s="16" t="str">
        <x:v>Annonce handicap/pathologie chronique/cancer d'un enfant</x:v>
      </x:c>
      <x:c r="D27" s="16" t="str">
        <x:v>Commun privé</x:v>
      </x:c>
      <x:c r="E27" s="16" t="str">
        <x:v>10 jours ouvrables depuis la version en vigueur du 14 juin 2026</x:v>
      </x:c>
      <x:c r="F27" s="16" t="str">
        <x:v>Annonce concernant un enfant</x:v>
      </x:c>
      <x:c r="G27" s="16" t="str">
        <x:v>jour ouvrable</x:v>
      </x:c>
      <x:c r="H27" s="16" t="str">
        <x:v>Oui</x:v>
      </x:c>
      <x:c r="I27" s="16" t="str">
        <x:v>ABS_FAM_PAYEE</x:v>
      </x:c>
      <x:c r="J27" s="16" t="str">
        <x:v>Nature de l'annonce ; justificatif</x:v>
      </x:c>
      <x:c r="K27" s="16" t="str">
        <x:v>https://www.legifrance.gouv.fr/codes/article_lc/LEGIARTI000047864715</x:v>
      </x:c>
      <x:c r="L27" s="16" t="str">
        <x:v>Mettre à jour les anciens paramétrages à 2 ou 5 jours.</x:v>
      </x:c>
    </x:row>
    <x:row r="28" ht="15" hidden="0" customHeight="1">
      <x:c r="A28" s="16" t="str">
        <x:v>ABS_ENFANT_MALADE</x:v>
      </x:c>
      <x:c r="B28" s="16" t="str">
        <x:v>Absences familiales</x:v>
      </x:c>
      <x:c r="C28" s="16" t="str">
        <x:v>Congé pour enfant malade</x:v>
      </x:c>
      <x:c r="D28" s="16" t="str">
        <x:v>Commun privé</x:v>
      </x:c>
      <x:c r="E28" s="16" t="str">
        <x:v>3 jours/an ; 5 jours/an si enfant &lt;1 an ou salarié avec au moins 3 enfants à charge de moins de 16 ans</x:v>
      </x:c>
      <x:c r="F28" s="16" t="str">
        <x:v>Enfant malade/accidenté à charge de moins de 16 ans</x:v>
      </x:c>
      <x:c r="G28" s="16" t="str">
        <x:v>jour</x:v>
      </x:c>
      <x:c r="H28" s="16" t="str">
        <x:v>Non par défaut</x:v>
      </x:c>
      <x:c r="I28" s="16" t="str">
        <x:v>ABS_ENFANT_MALADE</x:v>
      </x:c>
      <x:c r="J28" s="16" t="str">
        <x:v>Âge enfant ; nombre enfants ; convention plus favorable</x:v>
      </x:c>
      <x:c r="K28" s="16" t="str">
        <x:v>https://www.service-public.gouv.fr/particuliers/vosdroits/F151</x:v>
      </x:c>
      <x:c r="L28" s="16" t="str">
        <x:v>À intégrer comme absence autorisée non payée sauf accord/CCN.</x:v>
      </x:c>
    </x:row>
    <x:row r="29" ht="15" hidden="0" customHeight="1">
      <x:c r="A29" s="16" t="str">
        <x:v>CONGE_PRESENCE_PARENTALE</x:v>
      </x:c>
      <x:c r="B29" s="16" t="str">
        <x:v>Parent/aide</x:v>
      </x:c>
      <x:c r="C29" s="16" t="str">
        <x:v>Congé de présence parentale</x:v>
      </x:c>
      <x:c r="D29" s="16" t="str">
        <x:v>Commun privé</x:v>
      </x:c>
      <x:c r="E29" s="16" t="str">
        <x:v>Réserve de 310 jours ouvrés par enfant et par maladie/accident/handicap, dans la limite de 3 ans ; renouvellement possible</x:v>
      </x:c>
      <x:c r="F29" s="16" t="str">
        <x:v>Enfant gravement malade/accidenté/handicapé</x:v>
      </x:c>
      <x:c r="G29" s="16" t="str">
        <x:v>jour/demi-jour</x:v>
      </x:c>
      <x:c r="H29" s="16" t="str">
        <x:v>Non employeur par défaut</x:v>
      </x:c>
      <x:c r="I29" s="16" t="str">
        <x:v>CPP</x:v>
      </x:c>
      <x:c r="J29" s="16" t="str">
        <x:v>Certificat médical ; fractionnement ; délai 48h sauf urgence</x:v>
      </x:c>
      <x:c r="K29" s="16" t="str">
        <x:v>https://www.service-public.gouv.fr/particuliers/vosdroits/F1631</x:v>
      </x:c>
      <x:c r="L29" s="16" t="str">
        <x:v>Absence protégée avec compteur long.</x:v>
      </x:c>
    </x:row>
    <x:row r="30" ht="15" hidden="0" customHeight="1">
      <x:c r="A30" s="16" t="str">
        <x:v>CONGE_PROCHE_AIDANT</x:v>
      </x:c>
      <x:c r="B30" s="16" t="str">
        <x:v>Parent/aide</x:v>
      </x:c>
      <x:c r="C30" s="16" t="str">
        <x:v>Congé de proche aidant</x:v>
      </x:c>
      <x:c r="D30" s="16" t="str">
        <x:v>Commun privé</x:v>
      </x:c>
      <x:c r="E30" s="16" t="str">
        <x:v>Durée fixée par accord ; à défaut 3 mois renouvelables, maximum 1 an sur carrière</x:v>
      </x:c>
      <x:c r="F30" s="16" t="str">
        <x:v>Aide proche handicapé/âgé/perte autonomie</x:v>
      </x:c>
      <x:c r="G30" s="16" t="str">
        <x:v>jour/mois</x:v>
      </x:c>
      <x:c r="H30" s="16" t="str">
        <x:v>Non employeur par défaut</x:v>
      </x:c>
      <x:c r="I30" s="16" t="str">
        <x:v>CPAIDANT</x:v>
      </x:c>
      <x:c r="J30" s="16" t="str">
        <x:v>Lien/attestation ; fractionnement/temps partiel ; délai 1 mois sauf urgence</x:v>
      </x:c>
      <x:c r="K30" s="16" t="str">
        <x:v>https://www.service-public.gouv.fr/particuliers/vosdroits/F16920</x:v>
      </x:c>
      <x:c r="L30" s="16" t="str">
        <x:v>À prévoir dans demandes longues.</x:v>
      </x:c>
    </x:row>
    <x:row r="31" ht="15" hidden="0" customHeight="1">
      <x:c r="A31" s="16" t="str">
        <x:v>CONGE_SOLIDARITE_FAMILIALE</x:v>
      </x:c>
      <x:c r="B31" s="16" t="str">
        <x:v>Parent/aide</x:v>
      </x:c>
      <x:c r="C31" s="16" t="str">
        <x:v>Congé de solidarité familiale</x:v>
      </x:c>
      <x:c r="D31" s="16" t="str">
        <x:v>Commun privé</x:v>
      </x:c>
      <x:c r="E31" s="16" t="str">
        <x:v>Durée fixée par accord ; à défaut 3 mois renouvelable une fois ; fractionnement possible</x:v>
      </x:c>
      <x:c r="F31" s="16" t="str">
        <x:v>Assistance proche en fin de vie/pathologie grave</x:v>
      </x:c>
      <x:c r="G31" s="16" t="str">
        <x:v>jour/mois</x:v>
      </x:c>
      <x:c r="H31" s="16" t="str">
        <x:v>Non employeur par défaut</x:v>
      </x:c>
      <x:c r="I31" s="16" t="str">
        <x:v>CSF</x:v>
      </x:c>
      <x:c r="J31" s="16" t="str">
        <x:v>Certificat médical ; temps partiel/fractionnement ; AJAP éventuelle</x:v>
      </x:c>
      <x:c r="K31" s="16" t="str">
        <x:v>https://www.service-public.gouv.fr/particuliers/vosdroits/F1767</x:v>
      </x:c>
      <x:c r="L31" s="16" t="str">
        <x:v>À séparer de proche aidant.</x:v>
      </x:c>
    </x:row>
    <x:row r="32" ht="15" hidden="0" customHeight="1">
      <x:c r="A32" s="16" t="str">
        <x:v>CONGE_MATERNITE</x:v>
      </x:c>
      <x:c r="B32" s="16" t="str">
        <x:v>Parentalité</x:v>
      </x:c>
      <x:c r="C32" s="16" t="str">
        <x:v>Congé maternité</x:v>
      </x:c>
      <x:c r="D32" s="16" t="str">
        <x:v>Commun privé</x:v>
      </x:c>
      <x:c r="E32" s="16" t="str">
        <x:v>Durée selon nombre d'enfants à naître et déjà à charge ; cas général 16 semaines pour naissance simple 1er/2e enfant</x:v>
      </x:c>
      <x:c r="F32" s="16" t="str">
        <x:v>Grossesse salariée</x:v>
      </x:c>
      <x:c r="G32" s="16" t="str">
        <x:v>semaine/jour</x:v>
      </x:c>
      <x:c r="H32" s="16" t="str">
        <x:v>IJSS/maintien selon conditions</x:v>
      </x:c>
      <x:c r="I32" s="16" t="str">
        <x:v>MATERNITE</x:v>
      </x:c>
      <x:c r="J32" s="16" t="str">
        <x:v>Dates pré/postnatales ; pathologique ; convention maintien</x:v>
      </x:c>
      <x:c r="K32" s="16" t="str">
        <x:v>https://www.service-public.gouv.fr/particuliers/vosdroits/F2265</x:v>
      </x:c>
      <x:c r="L32" s="16" t="str">
        <x:v>Suspension contrat, protection, pas à confondre avec congé naissance.</x:v>
      </x:c>
    </x:row>
    <x:row r="33" ht="15" hidden="0" customHeight="1">
      <x:c r="A33" s="16" t="str">
        <x:v>CONGE_PATERNITE_ACCUEIL</x:v>
      </x:c>
      <x:c r="B33" s="16" t="str">
        <x:v>Parentalité</x:v>
      </x:c>
      <x:c r="C33" s="16" t="str">
        <x:v>Congé paternité et accueil de l'enfant</x:v>
      </x:c>
      <x:c r="D33" s="16" t="str">
        <x:v>Commun privé</x:v>
      </x:c>
      <x:c r="E33" s="16" t="str">
        <x:v>25 jours calendaires ; 32 jours en cas de naissances multiples, avec période obligatoire</x:v>
      </x:c>
      <x:c r="F33" s="16" t="str">
        <x:v>Naissance/accueil enfant</x:v>
      </x:c>
      <x:c r="G33" s="16" t="str">
        <x:v>jour calendaire</x:v>
      </x:c>
      <x:c r="H33" s="16" t="str">
        <x:v>IJSS/maintien selon conditions</x:v>
      </x:c>
      <x:c r="I33" s="16" t="str">
        <x:v>PATERNITE</x:v>
      </x:c>
      <x:c r="J33" s="16" t="str">
        <x:v>Délai prévenance ; 4 jours obligatoires ; cumul 3 jours naissance</x:v>
      </x:c>
      <x:c r="K33" s="16" t="str">
        <x:v>https://www.service-public.gouv.fr/particuliers/vosdroits/F3156</x:v>
      </x:c>
      <x:c r="L33" s="16" t="str">
        <x:v>Paramétrer fractionnement.</x:v>
      </x:c>
    </x:row>
    <x:row r="34" ht="15" hidden="0" customHeight="1">
      <x:c r="A34" s="16" t="str">
        <x:v>CONGE_ADOPTION</x:v>
      </x:c>
      <x:c r="B34" s="16" t="str">
        <x:v>Parentalité</x:v>
      </x:c>
      <x:c r="C34" s="16" t="str">
        <x:v>Congé adoption</x:v>
      </x:c>
      <x:c r="D34" s="16" t="str">
        <x:v>Commun privé</x:v>
      </x:c>
      <x:c r="E34" s="16" t="str">
        <x:v>Durée selon nombre d'enfants adoptés et enfants à charge ; partage possible entre parents</x:v>
      </x:c>
      <x:c r="F34" s="16" t="str">
        <x:v>Adoption</x:v>
      </x:c>
      <x:c r="G34" s="16" t="str">
        <x:v>semaine/jour</x:v>
      </x:c>
      <x:c r="H34" s="16" t="str">
        <x:v>IJSS/maintien selon conditions</x:v>
      </x:c>
      <x:c r="I34" s="16" t="str">
        <x:v>ADOPTION</x:v>
      </x:c>
      <x:c r="J34" s="16" t="str">
        <x:v>Arrivée au foyer ; partage ; majorations</x:v>
      </x:c>
      <x:c r="K34" s="16" t="str">
        <x:v>https://www.service-public.gouv.fr/particuliers/vosdroits/F2268</x:v>
      </x:c>
      <x:c r="L34" s="16" t="str">
        <x:v>Créer règles par cas.</x:v>
      </x:c>
    </x:row>
    <x:row r="35" ht="15" hidden="0" customHeight="1">
      <x:c r="A35" s="16" t="str">
        <x:v>CONGE_SUP_NAISSANCE_2026</x:v>
      </x:c>
      <x:c r="B35" s="16" t="str">
        <x:v>Parentalité</x:v>
      </x:c>
      <x:c r="C35" s="16" t="str">
        <x:v>Congé supplémentaire de naissance</x:v>
      </x:c>
      <x:c r="D35" s="16" t="str">
        <x:v>Commun privé/public</x:v>
      </x:c>
      <x:c r="E35" s="16" t="str">
        <x:v>Mis en œuvre au 1er juillet 2026 ; parents d'enfants nés à compter du 1er janvier 2026 sous conditions</x:v>
      </x:c>
      <x:c r="F35" s="16" t="str">
        <x:v>Naissance/adoption éligible</x:v>
      </x:c>
      <x:c r="G35" s="16" t="str">
        <x:v>jour/semaine</x:v>
      </x:c>
      <x:c r="H35" s="16" t="str">
        <x:v>À paramétrer selon textes/IJ</x:v>
      </x:c>
      <x:c r="I35" s="16" t="str">
        <x:v>CONGE_SUP_NAISSANCE</x:v>
      </x:c>
      <x:c r="J35" s="16" t="str">
        <x:v>Éligibilité 2026 ; délai prévenance ; prise dans les 9 mois pour naissance après 1er juillet</x:v>
      </x:c>
      <x:c r="K35" s="16" t="str">
        <x:v>https://www.service-public.gouv.fr/particuliers/vosdroits/F16225</x:v>
      </x:c>
      <x:c r="L35" s="16" t="str">
        <x:v>À surveiller car très récent.</x:v>
      </x:c>
    </x:row>
    <x:row r="36" ht="15" hidden="0" customHeight="1">
      <x:c r="A36" s="16" t="str">
        <x:v>ALLAITEMENT</x:v>
      </x:c>
      <x:c r="B36" s="16" t="str">
        <x:v>Parentalité</x:v>
      </x:c>
      <x:c r="C36" s="16" t="str">
        <x:v>Temps d'allaitement</x:v>
      </x:c>
      <x:c r="D36" s="16" t="str">
        <x:v>Commun privé</x:v>
      </x:c>
      <x:c r="E36" s="16" t="str">
        <x:v>Droit d'allaiter pendant les heures de travail pendant une période légale ; modalités à paramétrer</x:v>
      </x:c>
      <x:c r="F36" s="16" t="str">
        <x:v>Reprise après maternité et allaitement</x:v>
      </x:c>
      <x:c r="G36" s="16" t="str">
        <x:v>minute/heure</x:v>
      </x:c>
      <x:c r="H36" s="16" t="str">
        <x:v>Variable</x:v>
      </x:c>
      <x:c r="I36" s="16" t="str">
        <x:v>ALLAITEMENT</x:v>
      </x:c>
      <x:c r="J36" s="16" t="str">
        <x:v>Local dédié ; pauses ; convention/usage</x:v>
      </x:c>
      <x:c r="K36" s="16" t="str">
        <x:v>https://www.service-public.gouv.fr/particuliers/vosdroits/F1769</x:v>
      </x:c>
      <x:c r="L36" s="16" t="str">
        <x:v>Peut impacter planning.</x:v>
      </x:c>
    </x:row>
    <x:row r="37" ht="15" hidden="0" customHeight="1">
      <x:c r="A37" s="16" t="str">
        <x:v>JDC</x:v>
      </x:c>
      <x:c r="B37" s="16" t="str">
        <x:v>Absences civiques</x:v>
      </x:c>
      <x:c r="C37" s="16" t="str">
        <x:v>Journée défense et citoyenneté</x:v>
      </x:c>
      <x:c r="D37" s="16" t="str">
        <x:v>Commun privé</x:v>
      </x:c>
      <x:c r="E37" s="16" t="str">
        <x:v>Absence autorisée pour participer à la JDC</x:v>
      </x:c>
      <x:c r="F37" s="16" t="str">
        <x:v>Convocation JDC</x:v>
      </x:c>
      <x:c r="G37" s="16" t="str">
        <x:v>jour</x:v>
      </x:c>
      <x:c r="H37" s="16" t="str">
        <x:v>Oui selon règles applicables</x:v>
      </x:c>
      <x:c r="I37" s="16" t="str">
        <x:v>ABS_CIVIQUE</x:v>
      </x:c>
      <x:c r="J37" s="16" t="str">
        <x:v>Justificatif</x:v>
      </x:c>
      <x:c r="K37" s="16" t="str">
        <x:v>https://www.legifrance.gouv.fr/codes/article_lc/LEGIARTI000047864715</x:v>
      </x:c>
      <x:c r="L37" s="16" t="str">
        <x:v>Certaines CCN le listent explicitement.</x:v>
      </x:c>
    </x:row>
  </x:sheetData>
  <x:pageMargins left="0.7" right="0.7" top="0.75" bottom="0.75" header="0.3" footer="0.3"/>
  <x:tableParts count="1">
    <x:tablePart xmlns:r="http://schemas.openxmlformats.org/officeDocument/2006/relationships" r:id="R94451bcafd2b4f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34" hidden="0" customWidth="1"/>
    <x:col min="5" max="5" width="58" hidden="0" customWidth="1"/>
    <x:col min="6" max="6" width="38" hidden="0" customWidth="1"/>
    <x:col min="7" max="7" width="16" hidden="0" customWidth="1"/>
    <x:col min="8" max="8" width="18" hidden="0" customWidth="1"/>
    <x:col min="9" max="9" width="26" hidden="0" customWidth="1"/>
    <x:col min="10" max="10" width="42" hidden="0" customWidth="1"/>
    <x:col min="11" max="11" width="60" hidden="0" customWidth="1"/>
    <x:col min="12" max="12" width="48" hidden="0" customWidth="1"/>
  </x:cols>
  <x:sheetData>
    <x:row r="1" ht="15" hidden="0" customHeight="1">
      <x:c r="A1" s="13" t="str">
        <x:v>right_id</x:v>
      </x:c>
      <x:c r="B1" s="13" t="str">
        <x:v>famille</x:v>
      </x:c>
      <x:c r="C1" s="13" t="str">
        <x:v>regime_public</x:v>
      </x:c>
      <x:c r="D1" s="13" t="str">
        <x:v>libelle</x:v>
      </x:c>
      <x:c r="E1" s="13" t="str">
        <x:v>droit_base</x:v>
      </x:c>
      <x:c r="F1" s="13" t="str">
        <x:v>condition_declencheur</x:v>
      </x:c>
      <x:c r="G1" s="13" t="str">
        <x:v>unite</x:v>
      </x:c>
      <x:c r="H1" s="13" t="str">
        <x:v>remunere</x:v>
      </x:c>
      <x:c r="I1" s="13" t="str">
        <x:v>compteur_planning</x:v>
      </x:c>
      <x:c r="J1" s="13" t="str">
        <x:v>parametres_a_prevoir</x:v>
      </x:c>
      <x:c r="K1" s="13" t="str">
        <x:v>source_url</x:v>
      </x:c>
      <x:c r="L1" s="13" t="str">
        <x:v>commentaire_integration</x:v>
      </x:c>
    </x:row>
    <x:row r="2" ht="15" hidden="0" customHeight="1">
      <x:c r="A2" s="16" t="str">
        <x:v>FP_CONGES_ANNUELS</x:v>
      </x:c>
      <x:c r="B2" s="16" t="str">
        <x:v>Congés</x:v>
      </x:c>
      <x:c r="C2" s="16" t="str">
        <x:v>FPE/FPT/FPH</x:v>
      </x:c>
      <x:c r="D2" s="16" t="str">
        <x:v>Congés annuels fonction publique</x:v>
      </x:c>
      <x:c r="E2" s="16" t="str">
        <x:v>5 fois le nombre de jours travaillés par semaine ; exemple 25 jours ouvrés pour 5 jours/semaine</x:v>
      </x:c>
      <x:c r="F2" s="16" t="str">
        <x:v>Année de service 1er janvier-31 décembre</x:v>
      </x:c>
      <x:c r="G2" s="16" t="str">
        <x:v>jour ouvré</x:v>
      </x:c>
      <x:c r="H2" s="16" t="str">
        <x:v>Oui</x:v>
      </x:c>
      <x:c r="I2" s="16" t="str">
        <x:v>CA_PUBLIC</x:v>
      </x:c>
      <x:c r="J2" s="16" t="str">
        <x:v>Quotité ; jours travaillés/semaine ; prorata ; arrondi</x:v>
      </x:c>
      <x:c r="K2" s="16" t="str">
        <x:v>https://www.service-public.gouv.fr/particuliers/vosdroits/F488</x:v>
      </x:c>
      <x:c r="L2" s="16" t="str">
        <x:v>Base commune agents publics titulaires/stagiaires/contractuels.</x:v>
      </x:c>
    </x:row>
    <x:row r="3" ht="15" hidden="0" customHeight="1">
      <x:c r="A3" s="16" t="str">
        <x:v>FP_CONGES_FRACTIONNEMENT</x:v>
      </x:c>
      <x:c r="B3" s="16" t="str">
        <x:v>Congés</x:v>
      </x:c>
      <x:c r="C3" s="16" t="str">
        <x:v>FPE/FPT/FPH</x:v>
      </x:c>
      <x:c r="D3" s="16" t="str">
        <x:v>Jours de fractionnement public</x:v>
      </x:c>
      <x:c r="E3" s="16" t="str">
        <x:v>Jours supplémentaires si congés pris hors 1er mai-31 octobre ; modalités selon versant</x:v>
      </x:c>
      <x:c r="F3" s="16" t="str">
        <x:v>CA hors période</x:v>
      </x:c>
      <x:c r="G3" s="16" t="str">
        <x:v>jour ouvré</x:v>
      </x:c>
      <x:c r="H3" s="16" t="str">
        <x:v>Oui</x:v>
      </x:c>
      <x:c r="I3" s="16" t="str">
        <x:v>CA_FRACTIONNEMENT_PUBLIC</x:v>
      </x:c>
      <x:c r="J3" s="16" t="str">
        <x:v>Versant public ; seuils ; accord local</x:v>
      </x:c>
      <x:c r="K3" s="16" t="str">
        <x:v>https://www.service-public.gouv.fr/particuliers/vosdroits/F488</x:v>
      </x:c>
      <x:c r="L3" s="16" t="str">
        <x:v>Pour FPH : voir règle dédiée.</x:v>
      </x:c>
    </x:row>
    <x:row r="4" ht="15" hidden="0" customHeight="1">
      <x:c r="A4" s="16" t="str">
        <x:v>FP_TEMPS_TRAVAIL</x:v>
      </x:c>
      <x:c r="B4" s="16" t="str">
        <x:v>Temps de travail</x:v>
      </x:c>
      <x:c r="C4" s="16" t="str">
        <x:v>FPE/FPT/FPH</x:v>
      </x:c>
      <x:c r="D4" s="16" t="str">
        <x:v>Durée annuelle/légale publique</x:v>
      </x:c>
      <x:c r="E4" s="16" t="str">
        <x:v>35h/semaine et 1 607h/an ; organisation variable selon administration</x:v>
      </x:c>
      <x:c r="F4" s="16" t="str">
        <x:v>Cycle public</x:v>
      </x:c>
      <x:c r="G4" s="16" t="str">
        <x:v>heure</x:v>
      </x:c>
      <x:c r="H4" s="16" t="str">
        <x:v>N/A</x:v>
      </x:c>
      <x:c r="I4" s="16" t="str">
        <x:v>VALIDATION_TT_PUBLIC</x:v>
      </x:c>
      <x:c r="J4" s="16" t="str">
        <x:v>Cycle ; sujétions ; annualisation ; service</x:v>
      </x:c>
      <x:c r="K4" s="16" t="str">
        <x:v>https://www.service-public.gouv.fr/particuliers/vosdroits/N20276</x:v>
      </x:c>
      <x:c r="L4" s="16" t="str">
        <x:v>Socle de calcul RTT/HS.</x:v>
      </x:c>
    </x:row>
    <x:row r="5" ht="15" hidden="0" customHeight="1">
      <x:c r="A5" s="16" t="str">
        <x:v>FP_CET</x:v>
      </x:c>
      <x:c r="B5" s="16" t="str">
        <x:v>Congés/compteurs</x:v>
      </x:c>
      <x:c r="C5" s="16" t="str">
        <x:v>FPE/FPT/FPH</x:v>
      </x:c>
      <x:c r="D5" s="16" t="str">
        <x:v>Compte épargne-temps</x:v>
      </x:c>
      <x:c r="E5" s="16" t="str">
        <x:v>Tout agent peut avoir un CET alimenté notamment par jours de congés non utilisés</x:v>
      </x:c>
      <x:c r="F5" s="16" t="str">
        <x:v>Règles versant/locales</x:v>
      </x:c>
      <x:c r="G5" s="16" t="str">
        <x:v>jour</x:v>
      </x:c>
      <x:c r="H5" s="16" t="str">
        <x:v>Selon utilisation</x:v>
      </x:c>
      <x:c r="I5" s="16" t="str">
        <x:v>CET</x:v>
      </x:c>
      <x:c r="J5" s="16" t="str">
        <x:v>Plafonds ; alimentation ; indemnisation ; report</x:v>
      </x:c>
      <x:c r="K5" s="16" t="str">
        <x:v>https://www.service-public.gouv.fr/particuliers/vosdroits/N20276</x:v>
      </x:c>
      <x:c r="L5" s="16" t="str">
        <x:v>À prévoir comme compteur générique public.</x:v>
      </x:c>
    </x:row>
    <x:row r="6" ht="15" hidden="0" customHeight="1">
      <x:c r="A6" s="16" t="str">
        <x:v>FPH_REPOS_QUOTIDIEN</x:v>
      </x:c>
      <x:c r="B6" s="16" t="str">
        <x:v>Repos</x:v>
      </x:c>
      <x:c r="C6" s="16" t="str">
        <x:v>FPH</x:v>
      </x:c>
      <x:c r="D6" s="16" t="str">
        <x:v>Repos quotidien FPH</x:v>
      </x:c>
      <x:c r="E6" s="16" t="str">
        <x:v>12h consécutives minimum ; peut être 11h après accord collectif/chef d'établissement</x:v>
      </x:c>
      <x:c r="F6" s="16" t="str">
        <x:v>Fin de poste -&gt; reprise</x:v>
      </x:c>
      <x:c r="G6" s="16" t="str">
        <x:v>heure</x:v>
      </x:c>
      <x:c r="H6" s="16" t="str">
        <x:v>N/A</x:v>
      </x:c>
      <x:c r="I6" s="16" t="str">
        <x:v>VALIDATION_REPOS_FPH</x:v>
      </x:c>
      <x:c r="J6" s="16" t="str">
        <x:v>Dérogation 11h ; service</x:v>
      </x:c>
      <x:c r="K6" s="16" t="str">
        <x:v>https://www.service-public.gouv.fr/particuliers/vosdroits/F573</x:v>
      </x:c>
      <x:c r="L6" s="16" t="str">
        <x:v>Plus protecteur que privé par défaut.</x:v>
      </x:c>
    </x:row>
    <x:row r="7" ht="15" hidden="0" customHeight="1">
      <x:c r="A7" s="16" t="str">
        <x:v>FPH_PAUSE</x:v>
      </x:c>
      <x:c r="B7" s="16" t="str">
        <x:v>Repos</x:v>
      </x:c>
      <x:c r="C7" s="16" t="str">
        <x:v>FPH</x:v>
      </x:c>
      <x:c r="D7" s="16" t="str">
        <x:v>Pause FPH</x:v>
      </x:c>
      <x:c r="E7" s="16" t="str">
        <x:v>20 minutes pour toute période supérieure à 6h de travail consécutives</x:v>
      </x:c>
      <x:c r="F7" s="16" t="str">
        <x:v>&gt;6h consécutives</x:v>
      </x:c>
      <x:c r="G7" s="16" t="str">
        <x:v>minute</x:v>
      </x:c>
      <x:c r="H7" s="16" t="str">
        <x:v>N/A</x:v>
      </x:c>
      <x:c r="I7" s="16" t="str">
        <x:v>VALIDATION_PAUSE_FPH</x:v>
      </x:c>
      <x:c r="J7" s="16" t="str">
        <x:v>Travail continu/discontinu</x:v>
      </x:c>
      <x:c r="K7" s="16" t="str">
        <x:v>https://www.service-public.gouv.fr/particuliers/vosdroits/F573</x:v>
      </x:c>
      <x:c r="L7" s="16" t="str">
        <x:v>Règle planning.</x:v>
      </x:c>
    </x:row>
    <x:row r="8" ht="15" hidden="0" customHeight="1">
      <x:c r="A8" s="16" t="str">
        <x:v>FPH_REPOS_HEBDO</x:v>
      </x:c>
      <x:c r="B8" s="16" t="str">
        <x:v>Repos</x:v>
      </x:c>
      <x:c r="C8" s="16" t="str">
        <x:v>FPH</x:v>
      </x:c>
      <x:c r="D8" s="16" t="str">
        <x:v>Repos hebdomadaire FPH</x:v>
      </x:c>
      <x:c r="E8" s="16" t="str">
        <x:v>36h consécutives minimum ; 4 jours de repos pour 2 semaines dont au moins 2 consécutifs avec un dimanche</x:v>
      </x:c>
      <x:c r="F8" s="16" t="str">
        <x:v>Cycle FPH</x:v>
      </x:c>
      <x:c r="G8" s="16" t="str">
        <x:v>heure/jour</x:v>
      </x:c>
      <x:c r="H8" s="16" t="str">
        <x:v>N/A</x:v>
      </x:c>
      <x:c r="I8" s="16" t="str">
        <x:v>VALIDATION_REPOS_HEBDO_FPH</x:v>
      </x:c>
      <x:c r="J8" s="16" t="str">
        <x:v>Cycle ; continuité service</x:v>
      </x:c>
      <x:c r="K8" s="16" t="str">
        <x:v>https://www.service-public.gouv.fr/particuliers/vosdroits/F573</x:v>
      </x:c>
      <x:c r="L8" s="16" t="str">
        <x:v>Très important pour agents hospitaliers.</x:v>
      </x:c>
    </x:row>
    <x:row r="9" ht="15" hidden="0" customHeight="1">
      <x:c r="A9" s="16" t="str">
        <x:v>FPH_DUREE_JOUR_CONTINU</x:v>
      </x:c>
      <x:c r="B9" s="16" t="str">
        <x:v>Temps de travail</x:v>
      </x:c>
      <x:c r="C9" s="16" t="str">
        <x:v>FPH</x:v>
      </x:c>
      <x:c r="D9" s="16" t="str">
        <x:v>Durée journalière en travail continu</x:v>
      </x:c>
      <x:c r="E9" s="16" t="str">
        <x:v>9h max équipes de jour, 10h nuit ; amplitude max 12h si contraintes de service après avis</x:v>
      </x:c>
      <x:c r="F9" s="16" t="str">
        <x:v>Poste continu</x:v>
      </x:c>
      <x:c r="G9" s="16" t="str">
        <x:v>heure</x:v>
      </x:c>
      <x:c r="H9" s="16" t="str">
        <x:v>N/A</x:v>
      </x:c>
      <x:c r="I9" s="16" t="str">
        <x:v>VALIDATION_AMPLITUDE_FPH</x:v>
      </x:c>
      <x:c r="J9" s="16" t="str">
        <x:v>Jour/nuit ; continuité service</x:v>
      </x:c>
      <x:c r="K9" s="16" t="str">
        <x:v>https://www.service-public.gouv.fr/particuliers/vosdroits/F573</x:v>
      </x:c>
      <x:c r="L9" s="16" t="str">
        <x:v>Blocage planning hôpital public.</x:v>
      </x:c>
    </x:row>
    <x:row r="10" ht="15" hidden="0" customHeight="1">
      <x:c r="A10" s="16" t="str">
        <x:v>FPH_TRAVAIL_DISCONTINU</x:v>
      </x:c>
      <x:c r="B10" s="16" t="str">
        <x:v>Temps de travail</x:v>
      </x:c>
      <x:c r="C10" s="16" t="str">
        <x:v>FPH</x:v>
      </x:c>
      <x:c r="D10" s="16" t="str">
        <x:v>Travail discontinu FPH</x:v>
      </x:c>
      <x:c r="E10" s="16" t="str">
        <x:v>Amplitude max 10h30, pas plus de 2 vacations de 3h minimum ; cas domicile jusqu'à 12h</x:v>
      </x:c>
      <x:c r="F10" s="16" t="str">
        <x:v>Planning discontinu</x:v>
      </x:c>
      <x:c r="G10" s="16" t="str">
        <x:v>heure</x:v>
      </x:c>
      <x:c r="H10" s="16" t="str">
        <x:v>N/A</x:v>
      </x:c>
      <x:c r="I10" s="16" t="str">
        <x:v>VALIDATION_COUPURE_FPH</x:v>
      </x:c>
      <x:c r="J10" s="16" t="str">
        <x:v>Domicile ; avis CSE</x:v>
      </x:c>
      <x:c r="K10" s="16" t="str">
        <x:v>https://www.service-public.gouv.fr/particuliers/vosdroits/F573</x:v>
      </x:c>
      <x:c r="L10" s="16" t="str">
        <x:v>À gérer pour cuisine/logistique selon service.</x:v>
      </x:c>
    </x:row>
    <x:row r="11" ht="15" hidden="0" customHeight="1">
      <x:c r="A11" s="16" t="str">
        <x:v>FPH_RTT</x:v>
      </x:c>
      <x:c r="B11" s="16" t="str">
        <x:v>RTT</x:v>
      </x:c>
      <x:c r="C11" s="16" t="str">
        <x:v>FPH</x:v>
      </x:c>
      <x:c r="D11" s="16" t="str">
        <x:v>RTT FPH</x:v>
      </x:c>
      <x:c r="E11" s="16" t="str">
        <x:v>Si cycle &gt;35h/semaine, heures au-delà de la durée légale donnent droit à RTT ; limite 20 jours ouvrés/an</x:v>
      </x:c>
      <x:c r="F11" s="16" t="str">
        <x:v>Cycle &gt;35h</x:v>
      </x:c>
      <x:c r="G11" s="16" t="str">
        <x:v>jour/heure</x:v>
      </x:c>
      <x:c r="H11" s="16" t="str">
        <x:v>Oui</x:v>
      </x:c>
      <x:c r="I11" s="16" t="str">
        <x:v>RTT_PUBLIC</x:v>
      </x:c>
      <x:c r="J11" s="16" t="str">
        <x:v>Cycle ; plafond ; repos dans/hors cycle</x:v>
      </x:c>
      <x:c r="K11" s="16" t="str">
        <x:v>https://www.service-public.gouv.fr/particuliers/vosdroits/F573</x:v>
      </x:c>
      <x:c r="L11" s="16" t="str">
        <x:v>Calculé à partir du cycle.</x:v>
      </x:c>
    </x:row>
    <x:row r="12" ht="15" hidden="0" customHeight="1">
      <x:c r="A12" s="16" t="str">
        <x:v>FPH_HS</x:v>
      </x:c>
      <x:c r="B12" s="16" t="str">
        <x:v>Heures supplémentaires</x:v>
      </x:c>
      <x:c r="C12" s="16" t="str">
        <x:v>FPH</x:v>
      </x:c>
      <x:c r="D12" s="16" t="str">
        <x:v>Heures supplémentaires FPH</x:v>
      </x:c>
      <x:c r="E12" s="16" t="str">
        <x:v>Repos compensateur ou indemnité ; une même heure ne peut pas recevoir les deux</x:v>
      </x:c>
      <x:c r="F12" s="16" t="str">
        <x:v>Heures au-delà après RTT/cycle</x:v>
      </x:c>
      <x:c r="G12" s="16" t="str">
        <x:v>heure</x:v>
      </x:c>
      <x:c r="H12" s="16" t="str">
        <x:v>Repos ou indemnité</x:v>
      </x:c>
      <x:c r="I12" s="16" t="str">
        <x:v>HS_PUBLIC</x:v>
      </x:c>
      <x:c r="J12" s="16" t="str">
        <x:v>Décision chef d'établissement ; majorations nuit/Samedi/dimanche/JF possibles</x:v>
      </x:c>
      <x:c r="K12" s="16" t="str">
        <x:v>https://www.service-public.gouv.fr/particuliers/vosdroits/F595</x:v>
      </x:c>
      <x:c r="L12" s="16" t="str">
        <x:v>À séparer de RTT.</x:v>
      </x:c>
    </x:row>
    <x:row r="13" ht="15" hidden="0" customHeight="1">
      <x:c r="A13" s="16" t="str">
        <x:v>FPH_ANNUALISATION</x:v>
      </x:c>
      <x:c r="B13" s="16" t="str">
        <x:v>Temps de travail</x:v>
      </x:c>
      <x:c r="C13" s="16" t="str">
        <x:v>FPH</x:v>
      </x:c>
      <x:c r="D13" s="16" t="str">
        <x:v>Annualisation FPH</x:v>
      </x:c>
      <x:c r="E13" s="16" t="str">
        <x:v>Temps annualisé possible après accord collectif ; moyenne hebdomadaire entre 32h et 40h</x:v>
      </x:c>
      <x:c r="F13" s="16" t="str">
        <x:v>Organisation annualisée</x:v>
      </x:c>
      <x:c r="G13" s="16" t="str">
        <x:v>heure</x:v>
      </x:c>
      <x:c r="H13" s="16" t="str">
        <x:v>N/A</x:v>
      </x:c>
      <x:c r="I13" s="16" t="str">
        <x:v>ANNUALISATION_PUBLIC</x:v>
      </x:c>
      <x:c r="J13" s="16" t="str">
        <x:v>Accord ; bornes ; période annuelle</x:v>
      </x:c>
      <x:c r="K13" s="16" t="str">
        <x:v>https://www.service-public.gouv.fr/particuliers/vosdroits/F573</x:v>
      </x:c>
      <x:c r="L13" s="16" t="str">
        <x:v>Utiliser compteur crédit/débit.</x:v>
      </x:c>
    </x:row>
    <x:row r="14" ht="15" hidden="0" customHeight="1">
      <x:c r="A14" s="16" t="str">
        <x:v>PUBLIC_ASA_FAMILIALES</x:v>
      </x:c>
      <x:c r="B14" s="16" t="str">
        <x:v>Absences familiales</x:v>
      </x:c>
      <x:c r="C14" s="16" t="str">
        <x:v>FPE/FPT/FPH</x:v>
      </x:c>
      <x:c r="D14" s="16" t="str">
        <x:v>Autorisations spéciales d'absence familiales</x:v>
      </x:c>
      <x:c r="E14" s="16" t="str">
        <x:v>Règles variables selon administration/collectivité/établissement pour mariage, décès, enfant malade, etc.</x:v>
      </x:c>
      <x:c r="F14" s="16" t="str">
        <x:v>Événement familial agent public</x:v>
      </x:c>
      <x:c r="G14" s="16" t="str">
        <x:v>jour</x:v>
      </x:c>
      <x:c r="H14" s="16" t="str">
        <x:v>Variable</x:v>
      </x:c>
      <x:c r="I14" s="16" t="str">
        <x:v>ASA</x:v>
      </x:c>
      <x:c r="J14" s="16" t="str">
        <x:v>Délibération/arrêté/règlement intérieur local</x:v>
      </x:c>
      <x:c r="K14" s="16" t="str">
        <x:v>https://www.service-public.gouv.fr/particuliers/vosdroits/N20276</x:v>
      </x:c>
      <x:c r="L14" s="16" t="str">
        <x:v>Ne pas appliquer automatiquement la CCN privée.</x:v>
      </x:c>
    </x:row>
  </x:sheetData>
  <x:pageMargins left="0.7" right="0.7" top="0.75" bottom="0.75" header="0.3" footer="0.3"/>
  <x:tableParts count="1">
    <x:tablePart xmlns:r="http://schemas.openxmlformats.org/officeDocument/2006/relationships" r:id="R8509f20006a74d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0" hidden="0" customWidth="1"/>
    <x:col min="4" max="4" width="36" hidden="0" customWidth="1"/>
    <x:col min="5" max="5" width="62" hidden="0" customWidth="1"/>
    <x:col min="6" max="6" width="44" hidden="0" customWidth="1"/>
    <x:col min="7" max="7" width="14" hidden="0" customWidth="1"/>
    <x:col min="8" max="8" width="18" hidden="0" customWidth="1"/>
    <x:col min="9" max="9" width="24" hidden="0" customWidth="1"/>
    <x:col min="10" max="10" width="60" hidden="0" customWidth="1"/>
    <x:col min="11" max="11" width="10" hidden="0" customWidth="1"/>
    <x:col min="12" max="12" width="48" hidden="0" customWidth="1"/>
  </x:cols>
  <x:sheetData>
    <x:row r="1" ht="15" hidden="0" customHeight="1">
      <x:c r="A1" s="13" t="str">
        <x:v>rule_id</x:v>
      </x:c>
      <x:c r="B1" s="13" t="str">
        <x:v>idcc_ou_regime</x:v>
      </x:c>
      <x:c r="C1" s="13" t="str">
        <x:v>famille</x:v>
      </x:c>
      <x:c r="D1" s="13" t="str">
        <x:v>libelle</x:v>
      </x:c>
      <x:c r="E1" s="13" t="str">
        <x:v>regle_resume</x:v>
      </x:c>
      <x:c r="F1" s="13" t="str">
        <x:v>conditions</x:v>
      </x:c>
      <x:c r="G1" s="13" t="str">
        <x:v>unite</x:v>
      </x:c>
      <x:c r="H1" s="13" t="str">
        <x:v>remunere</x:v>
      </x:c>
      <x:c r="I1" s="13" t="str">
        <x:v>compteur_planning</x:v>
      </x:c>
      <x:c r="J1" s="13" t="str">
        <x:v>source_url</x:v>
      </x:c>
      <x:c r="K1" s="13" t="str">
        <x:v>priorite</x:v>
      </x:c>
      <x:c r="L1" s="13" t="str">
        <x:v>notes_integration</x:v>
      </x:c>
    </x:row>
    <x:row r="2" ht="15" hidden="0" customHeight="1">
      <x:c r="A2" s="16" t="str">
        <x:v>HCR_CP_ART23</x:v>
      </x:c>
      <x:c r="B2" s="16" t="str">
        <x:v>1979</x:v>
      </x:c>
      <x:c r="C2" s="16" t="str">
        <x:v>Congés payés</x:v>
      </x:c>
      <x:c r="D2" s="16" t="str">
        <x:v>HCR - congés payés</x:v>
      </x:c>
      <x:c r="E2" s="16" t="str">
        <x:v>Article 23 : 2,5 jours ouvrables/mois ; période de référence 1er juin-31 mai sauf exceptions ; congé principal 1er mai-31 octobre</x:v>
      </x:c>
      <x:c r="F2" s="16" t="str">
        <x:v>HCR ; ancienneté/présence selon texte ; périodes assimilées</x:v>
      </x:c>
      <x:c r="G2" s="16" t="str">
        <x:v>jour ouvrable</x:v>
      </x:c>
      <x:c r="H2" s="16" t="str">
        <x:v>Oui</x:v>
      </x:c>
      <x:c r="I2" s="16" t="str">
        <x:v>CP</x:v>
      </x:c>
      <x:c r="J2" s="16" t="str">
        <x:v>https://www.legifrance.gouv.fr/conv_coll/id/KALICONT000005635534/</x:v>
      </x:c>
      <x:c r="K2" s="16" t="n">
        <x:v>1</x:v>
      </x:c>
      <x:c r="L2" s="16" t="str">
        <x:v>Redondant avec légal mais garder source convention.</x:v>
      </x:c>
    </x:row>
    <x:row r="3" ht="15" hidden="0" customHeight="1">
      <x:c r="A3" s="16" t="str">
        <x:v>HCR_EVENT_ART25_1</x:v>
      </x:c>
      <x:c r="B3" s="16" t="str">
        <x:v>1979</x:v>
      </x:c>
      <x:c r="C3" s="16" t="str">
        <x:v>Absences familiales</x:v>
      </x:c>
      <x:c r="D3" s="16" t="str">
        <x:v>HCR - événements familiaux</x:v>
      </x:c>
      <x:c r="E3" s="16" t="str">
        <x:v>Convention liste mariage salarié, naissance/adoption, décès, mariage enfant, décès parent/grand-parent ; ancienneté 3 mois pour certains droits</x:v>
      </x:c>
      <x:c r="F3" s="16" t="str">
        <x:v>Comparer au socle légal en vigueur et retenir plus favorable</x:v>
      </x:c>
      <x:c r="G3" s="16" t="str">
        <x:v>jour</x:v>
      </x:c>
      <x:c r="H3" s="16" t="str">
        <x:v>Oui</x:v>
      </x:c>
      <x:c r="I3" s="16" t="str">
        <x:v>ABS_FAM_PAYEE</x:v>
      </x:c>
      <x:c r="J3" s="16" t="str">
        <x:v>https://www.legifrance.gouv.fr/conv_coll/id/KALICONT000005635534/</x:v>
      </x:c>
      <x:c r="K3" s="16" t="n">
        <x:v>1</x:v>
      </x:c>
      <x:c r="L3" s="16" t="str">
        <x:v>Certaines durées HCR sont désormais inférieures au légal ; ne pas écraser le légal.</x:v>
      </x:c>
    </x:row>
    <x:row r="4" ht="15" hidden="0" customHeight="1">
      <x:c r="A4" s="16" t="str">
        <x:v>HCR_ENFANT_MALADE_ART25_2</x:v>
      </x:c>
      <x:c r="B4" s="16" t="str">
        <x:v>1979</x:v>
      </x:c>
      <x:c r="C4" s="16" t="str">
        <x:v>Absences familiales</x:v>
      </x:c>
      <x:c r="D4" s="16" t="str">
        <x:v>HCR - enfant malade</x:v>
      </x:c>
      <x:c r="E4" s="16" t="str">
        <x:v>Renvoi aux dispositions légales pour enfant malade</x:v>
      </x:c>
      <x:c r="F4" s="16" t="str">
        <x:v>Enfant malade/accidenté</x:v>
      </x:c>
      <x:c r="G4" s="16" t="str">
        <x:v>jour</x:v>
      </x:c>
      <x:c r="H4" s="16" t="str">
        <x:v>Non par défaut</x:v>
      </x:c>
      <x:c r="I4" s="16" t="str">
        <x:v>ABS_ENFANT_MALADE</x:v>
      </x:c>
      <x:c r="J4" s="16" t="str">
        <x:v>https://www.legifrance.gouv.fr/conv_coll/id/KALICONT000005635534/</x:v>
      </x:c>
      <x:c r="K4" s="16" t="n">
        <x:v>1</x:v>
      </x:c>
      <x:c r="L4" s="16" t="str">
        <x:v>Appliquer 3/5 jours légal sauf accord d'entreprise plus favorable.</x:v>
      </x:c>
    </x:row>
    <x:row r="5" ht="15" hidden="0" customHeight="1">
      <x:c r="A5" s="16" t="str">
        <x:v>HCR_JF_AVENANT6</x:v>
      </x:c>
      <x:c r="B5" s="16" t="str">
        <x:v>1979</x:v>
      </x:c>
      <x:c r="C5" s="16" t="str">
        <x:v>Jours fériés</x:v>
      </x:c>
      <x:c r="D5" s="16" t="str">
        <x:v>HCR - jours fériés garantis</x:v>
      </x:c>
      <x:c r="E5" s="16" t="str">
        <x:v>En plus du 1er mai, 10 jours fériés par an après condition d'ancienneté ; 6 jours fériés garantis selon avenants</x:v>
      </x:c>
      <x:c r="F5" s="16" t="str">
        <x:v>Salarié HCR ; ancienneté à vérifier ; saisonniers/temps partiel prorata selon texte</x:v>
      </x:c>
      <x:c r="G5" s="16" t="str">
        <x:v>jour</x:v>
      </x:c>
      <x:c r="H5" s="16" t="str">
        <x:v>Oui ou compensation</x:v>
      </x:c>
      <x:c r="I5" s="16" t="str">
        <x:v>JF_HCR_GARANTI</x:v>
      </x:c>
      <x:c r="J5" s="16" t="str">
        <x:v>https://www.legifrance.gouv.fr/conv_coll/id/KALICONT000005635534/</x:v>
      </x:c>
      <x:c r="K5" s="16" t="n">
        <x:v>1</x:v>
      </x:c>
      <x:c r="L5" s="16" t="str">
        <x:v>À coder précisément avec règles compensation : travaillé, repos, jour tombant sur repos.</x:v>
      </x:c>
    </x:row>
    <x:row r="6" ht="15" hidden="0" customHeight="1">
      <x:c r="A6" s="16" t="str">
        <x:v>HCR_REPOS_HEBDO_ART21</x:v>
      </x:c>
      <x:c r="B6" s="16" t="str">
        <x:v>1979</x:v>
      </x:c>
      <x:c r="C6" s="16" t="str">
        <x:v>Repos</x:v>
      </x:c>
      <x:c r="D6" s="16" t="str">
        <x:v>HCR - repos hebdomadaire</x:v>
      </x:c>
      <x:c r="E6" s="16" t="str">
        <x:v>2 jours de repos hebdomadaire, consécutifs ou non, avec possibilités de report/compensation selon établissement/saison</x:v>
      </x:c>
      <x:c r="F6" s="16" t="str">
        <x:v>HCR ; permanents/saisonniers ; modalités article/accord</x:v>
      </x:c>
      <x:c r="G6" s="16" t="str">
        <x:v>jour</x:v>
      </x:c>
      <x:c r="H6" s="16" t="str">
        <x:v>N/A</x:v>
      </x:c>
      <x:c r="I6" s="16" t="str">
        <x:v>REPOS_HEBDO_HCR</x:v>
      </x:c>
      <x:c r="J6" s="16" t="str">
        <x:v>https://www.legifrance.gouv.fr/conv_coll/id/KALICONT000005635534/</x:v>
      </x:c>
      <x:c r="K6" s="16" t="n">
        <x:v>1</x:v>
      </x:c>
      <x:c r="L6" s="16" t="str">
        <x:v>Règle majeure pour planning.</x:v>
      </x:c>
    </x:row>
    <x:row r="7" ht="15" hidden="0" customHeight="1">
      <x:c r="A7" s="16" t="str">
        <x:v>HCR_REPOS_QUOTIDIEN_ART21</x:v>
      </x:c>
      <x:c r="B7" s="16" t="str">
        <x:v>1979</x:v>
      </x:c>
      <x:c r="C7" s="16" t="str">
        <x:v>Repos</x:v>
      </x:c>
      <x:c r="D7" s="16" t="str">
        <x:v>HCR - repos quotidien/dérogation saisonniers</x:v>
      </x:c>
      <x:c r="E7" s="16" t="str">
        <x:v>Repos quotidien de 11h ; dérogations conventionnelles possibles notamment saisonniers avec contreparties</x:v>
      </x:c>
      <x:c r="F7" s="16" t="str">
        <x:v>HCR ; saisonnier ; conditions de dérogation</x:v>
      </x:c>
      <x:c r="G7" s="16" t="str">
        <x:v>heure</x:v>
      </x:c>
      <x:c r="H7" s="16" t="str">
        <x:v>N/A</x:v>
      </x:c>
      <x:c r="I7" s="16" t="str">
        <x:v>VALIDATION_REPOS_HCR</x:v>
      </x:c>
      <x:c r="J7" s="16" t="str">
        <x:v>https://www.legifrance.gouv.fr/conv_coll/id/KALICONT000005635534/</x:v>
      </x:c>
      <x:c r="K7" s="16" t="n">
        <x:v>1</x:v>
      </x:c>
      <x:c r="L7" s="16" t="str">
        <x:v>Vérifier textes à jour et accords établissement.</x:v>
      </x:c>
    </x:row>
    <x:row r="8" ht="15" hidden="0" customHeight="1">
      <x:c r="A8" s="16" t="str">
        <x:v>HCR_MALADIE_ART29</x:v>
      </x:c>
      <x:c r="B8" s="16" t="str">
        <x:v>1979</x:v>
      </x:c>
      <x:c r="C8" s="16" t="str">
        <x:v>Maladie</x:v>
      </x:c>
      <x:c r="D8" s="16" t="str">
        <x:v>HCR - maintien salaire maladie/AT</x:v>
      </x:c>
      <x:c r="E8" s="16" t="str">
        <x:v>Maintien conventionnel selon ancienneté et durée d'arrêt ; à extraire article 29 et comparer au légal</x:v>
      </x:c>
      <x:c r="F8" s="16" t="str">
        <x:v>Arrêt maladie/AT/MP ; ancienneté ; indemnités IJSS</x:v>
      </x:c>
      <x:c r="G8" s="16" t="str">
        <x:v>jour</x:v>
      </x:c>
      <x:c r="H8" s="16" t="str">
        <x:v>Oui partiel</x:v>
      </x:c>
      <x:c r="I8" s="16" t="str">
        <x:v>MALADIE_MAINTIEN</x:v>
      </x:c>
      <x:c r="J8" s="16" t="str">
        <x:v>https://www.legifrance.gouv.fr/conv_coll/id/KALICONT000005635534/</x:v>
      </x:c>
      <x:c r="K8" s="16" t="n">
        <x:v>2</x:v>
      </x:c>
      <x:c r="L8" s="16" t="str">
        <x:v>Impact paie plus que planning, mais statut absence utile.</x:v>
      </x:c>
    </x:row>
    <x:row r="9" ht="15" hidden="0" customHeight="1">
      <x:c r="A9" s="16" t="str">
        <x:v>RR_HS_CONTINGENT</x:v>
      </x:c>
      <x:c r="B9" s="16" t="str">
        <x:v>1501</x:v>
      </x:c>
      <x:c r="C9" s="16" t="str">
        <x:v>Heures supplémentaires</x:v>
      </x:c>
      <x:c r="D9" s="16" t="str">
        <x:v>Restauration rapide - contingent HS</x:v>
      </x:c>
      <x:c r="E9" s="16" t="str">
        <x:v>Code du travail numérique indique un contingent annuel conventionnel de 220 heures</x:v>
      </x:c>
      <x:c r="F9" s="16" t="str">
        <x:v>Salarié RR ; heures au-delà 35h/référence</x:v>
      </x:c>
      <x:c r="G9" s="16" t="str">
        <x:v>heure</x:v>
      </x:c>
      <x:c r="H9" s="16" t="str">
        <x:v>Oui/repos</x:v>
      </x:c>
      <x:c r="I9" s="16" t="str">
        <x:v>HS</x:v>
      </x:c>
      <x:c r="J9" s="16" t="str">
        <x:v>https://code.travail.gouv.fr/convention-collective/1501-restauration-rapide</x:v>
      </x:c>
      <x:c r="K9" s="16" t="n">
        <x:v>1</x:v>
      </x:c>
      <x:c r="L9" s="16" t="str">
        <x:v>Taux de majoration à paramétrer via accord/loi.</x:v>
      </x:c>
    </x:row>
    <x:row r="10" ht="15" hidden="0" customHeight="1">
      <x:c r="A10" s="16" t="str">
        <x:v>RR_PRIME_ANNUELLE</x:v>
      </x:c>
      <x:c r="B10" s="16" t="str">
        <x:v>1501</x:v>
      </x:c>
      <x:c r="C10" s="16" t="str">
        <x:v>Rémunération</x:v>
      </x:c>
      <x:c r="D10" s="16" t="str">
        <x:v>Restauration rapide - prime annuelle conventionnelle</x:v>
      </x:c>
      <x:c r="E10" s="16" t="str">
        <x:v>Prime annuelle selon ancienneté à partir d'1 an, montants par palier ; proratisations/absences selon convention</x:v>
      </x:c>
      <x:c r="F10" s="16" t="str">
        <x:v>Ancienneté ; présence ; temps partiel</x:v>
      </x:c>
      <x:c r="G10" s="16" t="str">
        <x:v>euro</x:v>
      </x:c>
      <x:c r="H10" s="16" t="str">
        <x:v>Oui</x:v>
      </x:c>
      <x:c r="I10" s="16" t="str">
        <x:v>PRIME_ANNUELLE</x:v>
      </x:c>
      <x:c r="J10" s="16" t="str">
        <x:v>https://code.travail.gouv.fr/convention-collective/1501-restauration-rapide</x:v>
      </x:c>
      <x:c r="K10" s="16" t="n">
        <x:v>2</x:v>
      </x:c>
      <x:c r="L10" s="16" t="str">
        <x:v>Pas planning mais utile profil salarié.</x:v>
      </x:c>
    </x:row>
    <x:row r="11" ht="15" hidden="0" customHeight="1">
      <x:c r="A11" s="16" t="str">
        <x:v>RR_BLANCHISSAGE</x:v>
      </x:c>
      <x:c r="B11" s="16" t="str">
        <x:v>1501</x:v>
      </x:c>
      <x:c r="C11" s="16" t="str">
        <x:v>Frais/uniforme</x:v>
      </x:c>
      <x:c r="D11" s="16" t="str">
        <x:v>Restauration rapide - blanchissage</x:v>
      </x:c>
      <x:c r="E11" s="16" t="str">
        <x:v>Indemnité de blanchissage si tenue spéciale imposée et entretenue par salarié</x:v>
      </x:c>
      <x:c r="F11" s="16" t="str">
        <x:v>Uniforme imposé + entretien salarié</x:v>
      </x:c>
      <x:c r="G11" s="16" t="str">
        <x:v>euro/heure</x:v>
      </x:c>
      <x:c r="H11" s="16" t="str">
        <x:v>Oui indemnité</x:v>
      </x:c>
      <x:c r="I11" s="16" t="str">
        <x:v>BLANCHISSAGE</x:v>
      </x:c>
      <x:c r="J11" s="16" t="str">
        <x:v>https://code.travail.gouv.fr/convention-collective/1501-restauration-rapide</x:v>
      </x:c>
      <x:c r="K11" s="16" t="n">
        <x:v>2</x:v>
      </x:c>
      <x:c r="L11" s="16" t="str">
        <x:v>À lier à profil poste/établissement.</x:v>
      </x:c>
    </x:row>
    <x:row r="12" ht="15" hidden="0" customHeight="1">
      <x:c r="A12" s="16" t="str">
        <x:v>RR_CP_ANCIENNETE</x:v>
      </x:c>
      <x:c r="B12" s="16" t="str">
        <x:v>1501</x:v>
      </x:c>
      <x:c r="C12" s="16" t="str">
        <x:v>Congés</x:v>
      </x:c>
      <x:c r="D12" s="16" t="str">
        <x:v>Restauration rapide - congés d'ancienneté</x:v>
      </x:c>
      <x:c r="E12" s="16" t="str">
        <x:v>Code du travail numérique : pas de congés supplémentaires d'ancienneté prévus par la convention</x:v>
      </x:c>
      <x:c r="F12" s="16" t="str">
        <x:v>RR</x:v>
      </x:c>
      <x:c r="G12" s="16" t="str">
        <x:v>jour</x:v>
      </x:c>
      <x:c r="H12" s="16" t="str">
        <x:v>N/A</x:v>
      </x:c>
      <x:c r="I12" s="16" t="str">
        <x:v>CP_ANCIENNETE</x:v>
      </x:c>
      <x:c r="J12" s="16" t="str">
        <x:v>https://code.travail.gouv.fr/convention-collective/1501-restauration-rapide</x:v>
      </x:c>
      <x:c r="K12" s="16" t="n">
        <x:v>3</x:v>
      </x:c>
      <x:c r="L12" s="16" t="str">
        <x:v>Évite d'ajouter des droits inexistants.</x:v>
      </x:c>
    </x:row>
    <x:row r="13" ht="15" hidden="0" customHeight="1">
      <x:c r="A13" s="16" t="str">
        <x:v>COLLECTIVE_TRAVAIL_INTERMITTENT</x:v>
      </x:c>
      <x:c r="B13" s="16" t="str">
        <x:v>1266</x:v>
      </x:c>
      <x:c r="C13" s="16" t="str">
        <x:v>Temps de travail</x:v>
      </x:c>
      <x:c r="D13" s="16" t="str">
        <x:v>Restauration collective - travail intermittent scolaire</x:v>
      </x:c>
      <x:c r="E13" s="16" t="str">
        <x:v>Accord spécifique sur le travail intermittent dans le secteur scolaire présent dans la convention</x:v>
      </x:c>
      <x:c r="F13" s="16" t="str">
        <x:v>Secteur scolaire/restauration collective</x:v>
      </x:c>
      <x:c r="G13" s="16" t="str">
        <x:v>heure/jour</x:v>
      </x:c>
      <x:c r="H13" s="16" t="str">
        <x:v>Selon contrat</x:v>
      </x:c>
      <x:c r="I13" s="16" t="str">
        <x:v>INTERMITTENT_SCOLAIRE</x:v>
      </x:c>
      <x:c r="J13" s="16" t="str">
        <x:v>https://www.legifrance.gouv.fr/conv_coll/id/KALITEXT000005640425</x:v>
      </x:c>
      <x:c r="K13" s="16" t="n">
        <x:v>1</x:v>
      </x:c>
      <x:c r="L13" s="16" t="str">
        <x:v>À extraire en détail pour cantines scolaires privées.</x:v>
      </x:c>
    </x:row>
    <x:row r="14" ht="15" hidden="0" customHeight="1">
      <x:c r="A14" s="16" t="str">
        <x:v>COLLECTIVE_CHANGEMENT_PRESTATAIRE</x:v>
      </x:c>
      <x:c r="B14" s="16" t="str">
        <x:v>1266</x:v>
      </x:c>
      <x:c r="C14" s="16" t="str">
        <x:v>Contrat</x:v>
      </x:c>
      <x:c r="D14" s="16" t="str">
        <x:v>Restauration collective - changement de prestataire</x:v>
      </x:c>
      <x:c r="E14" s="16" t="str">
        <x:v>Avenants sur changement de prestataire : reprise/transfert possible du personnel selon conditions</x:v>
      </x:c>
      <x:c r="F14" s="16" t="str">
        <x:v>Marché de restauration change de prestataire</x:v>
      </x:c>
      <x:c r="G14" s="16" t="str">
        <x:v>N/A</x:v>
      </x:c>
      <x:c r="H14" s="16" t="str">
        <x:v>N/A</x:v>
      </x:c>
      <x:c r="I14" s="16" t="str">
        <x:v>ALERTE_CONTRAT</x:v>
      </x:c>
      <x:c r="J14" s="16" t="str">
        <x:v>https://www.legifrance.gouv.fr/conv_coll/id/KALITEXT000005640425</x:v>
      </x:c>
      <x:c r="K14" s="16" t="n">
        <x:v>2</x:v>
      </x:c>
      <x:c r="L14" s="16" t="str">
        <x:v>Pas planning quotidien, mais important intégration RH.</x:v>
      </x:c>
    </x:row>
    <x:row r="15" ht="15" hidden="0" customHeight="1">
      <x:c r="A15" s="16" t="str">
        <x:v>HPA_CDD_SAISON</x:v>
      </x:c>
      <x:c r="B15" s="16" t="str">
        <x:v>1631</x:v>
      </x:c>
      <x:c r="C15" s="16" t="str">
        <x:v>Contrat/temps</x:v>
      </x:c>
      <x:c r="D15" s="16" t="str">
        <x:v>HPA - saisonniers</x:v>
      </x:c>
      <x:c r="E15" s="16" t="str">
        <x:v>Convention HPA contient dispositions saisonnières/temps de travail ; CDD saisonnier à paramétrer selon textes</x:v>
      </x:c>
      <x:c r="F15" s="16" t="str">
        <x:v>Camping/HPA saisonnier</x:v>
      </x:c>
      <x:c r="G15" s="16" t="str">
        <x:v>mois/jour</x:v>
      </x:c>
      <x:c r="H15" s="16" t="str">
        <x:v>N/A</x:v>
      </x:c>
      <x:c r="I15" s="16" t="str">
        <x:v>SAISONNIER</x:v>
      </x:c>
      <x:c r="J15" s="16" t="str">
        <x:v>https://www.legifrance.gouv.fr/conv_coll/id/KALICONT000005635252</x:v>
      </x:c>
      <x:c r="K15" s="16" t="n">
        <x:v>1</x:v>
      </x:c>
      <x:c r="L15" s="16" t="str">
        <x:v>Gérer contrats saisonniers et repos en haute saison.</x:v>
      </x:c>
    </x:row>
    <x:row r="16" ht="15" hidden="0" customHeight="1">
      <x:c r="A16" s="16" t="str">
        <x:v>HPA_RTT_JRTT</x:v>
      </x:c>
      <x:c r="B16" s="16" t="str">
        <x:v>1631</x:v>
      </x:c>
      <x:c r="C16" s="16" t="str">
        <x:v>RTT</x:v>
      </x:c>
      <x:c r="D16" s="16" t="str">
        <x:v>HPA - JRTT/RTT</x:v>
      </x:c>
      <x:c r="E16" s="16" t="str">
        <x:v>Accords HPA sur réduction/aménagement du temps de travail ; JRTT à gérer comme compteur distinct des CP</x:v>
      </x:c>
      <x:c r="F16" s="16" t="str">
        <x:v>Camping/HPA avec aménagement RTT</x:v>
      </x:c>
      <x:c r="G16" s="16" t="str">
        <x:v>jour/demi-jour</x:v>
      </x:c>
      <x:c r="H16" s="16" t="str">
        <x:v>Oui</x:v>
      </x:c>
      <x:c r="I16" s="16" t="str">
        <x:v>JRTT_HPA</x:v>
      </x:c>
      <x:c r="J16" s="16" t="str">
        <x:v>https://www.legifrance.gouv.fr/conv_coll/id/KALICONT000005635252</x:v>
      </x:c>
      <x:c r="K16" s="16" t="n">
        <x:v>1</x:v>
      </x:c>
      <x:c r="L16" s="16" t="str">
        <x:v>Ne pas mélanger JRTT et CP.</x:v>
      </x:c>
    </x:row>
    <x:row r="17" ht="15" hidden="0" customHeight="1">
      <x:c r="A17" s="16" t="str">
        <x:v>CAFETERIAS_TO_EXTRACT</x:v>
      </x:c>
      <x:c r="B17" s="16" t="str">
        <x:v>2060</x:v>
      </x:c>
      <x:c r="C17" s="16" t="str">
        <x:v>À extraire</x:v>
      </x:c>
      <x:c r="D17" s="16" t="str">
        <x:v>Cafétérias - règles à extraire</x:v>
      </x:c>
      <x:c r="E17" s="16" t="str">
        <x:v>Convention IDCC 2060 : extraire congés, événements, temps de travail, JF, coupures, primes</x:v>
      </x:c>
      <x:c r="F17" s="16" t="str">
        <x:v>Chaînes de cafétérias</x:v>
      </x:c>
      <x:c r="G17" s="16" t="str">
        <x:v>N/A</x:v>
      </x:c>
      <x:c r="H17" s="16" t="str">
        <x:v>N/A</x:v>
      </x:c>
      <x:c r="I17" s="16" t="str">
        <x:v>A_EXTRAIRE</x:v>
      </x:c>
      <x:c r="J17" s="16" t="str">
        <x:v>https://www.legifrance.gouv.fr/conv_coll/id/KALICONT000005635326</x:v>
      </x:c>
      <x:c r="K17" s="16" t="n">
        <x:v>2</x:v>
      </x:c>
      <x:c r="L17" s="16" t="str">
        <x:v>Pas assez de détail V1 ; à enrichir article par article.</x:v>
      </x:c>
    </x:row>
    <x:row r="18" ht="15" hidden="0" customHeight="1">
      <x:c r="A18" s="16" t="str">
        <x:v>CASINO_NUIT_RESTO</x:v>
      </x:c>
      <x:c r="B18" s="16" t="str">
        <x:v>2257</x:v>
      </x:c>
      <x:c r="C18" s="16" t="str">
        <x:v>Nuit/JF</x:v>
      </x:c>
      <x:c r="D18" s="16" t="str">
        <x:v>Casinos - restauration-hôtellerie</x:v>
      </x:c>
      <x:c r="E18" s="16" t="str">
        <x:v>Convention casinos inclut personnel restauration-hôtellerie et avenants sur travail de nuit/rémunérations</x:v>
      </x:c>
      <x:c r="F18" s="16" t="str">
        <x:v>Restaurant/bar/hôtel dans casino</x:v>
      </x:c>
      <x:c r="G18" s="16" t="str">
        <x:v>heure</x:v>
      </x:c>
      <x:c r="H18" s="16" t="str">
        <x:v>Selon règles</x:v>
      </x:c>
      <x:c r="I18" s="16" t="str">
        <x:v>NUIT_CASINO</x:v>
      </x:c>
      <x:c r="J18" s="16" t="str">
        <x:v>https://www.legifrance.gouv.fr/conv_coll/id/KALICONT000005635618</x:v>
      </x:c>
      <x:c r="K18" s="16" t="n">
        <x:v>2</x:v>
      </x:c>
      <x:c r="L18" s="16" t="str">
        <x:v>À router seulement si employeur casino.</x:v>
      </x:c>
    </x:row>
    <x:row r="19" ht="15" hidden="0" customHeight="1">
      <x:c r="A19" s="16" t="str">
        <x:v>FHP_CYCLES</x:v>
      </x:c>
      <x:c r="B19" s="16" t="str">
        <x:v>2264</x:v>
      </x:c>
      <x:c r="C19" s="16" t="str">
        <x:v>Temps de travail</x:v>
      </x:c>
      <x:c r="D19" s="16" t="str">
        <x:v>Hospitalisation privée - cycles/modulation</x:v>
      </x:c>
      <x:c r="E19" s="16" t="str">
        <x:v>Convention hospitalisation privée prévoit organisation par cycles/modulation dans établissements de santé</x:v>
      </x:c>
      <x:c r="F19" s="16" t="str">
        <x:v>Personnel restauration interne clinique/EHPAD privé</x:v>
      </x:c>
      <x:c r="G19" s="16" t="str">
        <x:v>heure</x:v>
      </x:c>
      <x:c r="H19" s="16" t="str">
        <x:v>N/A</x:v>
      </x:c>
      <x:c r="I19" s="16" t="str">
        <x:v>CYCLE_SANTE_PRIVE</x:v>
      </x:c>
      <x:c r="J19" s="16" t="str">
        <x:v>https://www.legifrance.gouv.fr/conv_coll/id/KALICONT000005635813</x:v>
      </x:c>
      <x:c r="K19" s="16" t="n">
        <x:v>1</x:v>
      </x:c>
      <x:c r="L19" s="16" t="str">
        <x:v>À utiliser si employé par établissement, pas prestataire 1266.</x:v>
      </x:c>
    </x:row>
    <x:row r="20" ht="15" hidden="0" customHeight="1">
      <x:c r="A20" s="16" t="str">
        <x:v>FEHAP_TO_EXTRACT</x:v>
      </x:c>
      <x:c r="B20" s="16" t="str">
        <x:v>0029</x:v>
      </x:c>
      <x:c r="C20" s="16" t="str">
        <x:v>À extraire</x:v>
      </x:c>
      <x:c r="D20" s="16" t="str">
        <x:v>FEHAP 51 - droits agents privés non lucratifs</x:v>
      </x:c>
      <x:c r="E20" s="16" t="str">
        <x:v>Convention IDCC 29 couvre établissements privés non lucratifs de santé/soins/cure/garde</x:v>
      </x:c>
      <x:c r="F20" s="16" t="str">
        <x:v>Personnel cuisine/restauration employé par FEHAP/ESPIC</x:v>
      </x:c>
      <x:c r="G20" s="16" t="str">
        <x:v>N/A</x:v>
      </x:c>
      <x:c r="H20" s="16" t="str">
        <x:v>N/A</x:v>
      </x:c>
      <x:c r="I20" s="16" t="str">
        <x:v>A_EXTRAIRE_FEHAP</x:v>
      </x:c>
      <x:c r="J20" s="16" t="str">
        <x:v>https://www.legifrance.gouv.fr/conv_coll/id/KALICONT000005635234</x:v>
      </x:c>
      <x:c r="K20" s="16" t="n">
        <x:v>1</x:v>
      </x:c>
      <x:c r="L20" s="16" t="str">
        <x:v>Très important pour hôpitaux privés associatifs.</x:v>
      </x:c>
    </x:row>
  </x:sheetData>
  <x:pageMargins left="0.7" right="0.7" top="0.75" bottom="0.75" header="0.3" footer="0.3"/>
  <x:tableParts count="1">
    <x:tablePart xmlns:r="http://schemas.openxmlformats.org/officeDocument/2006/relationships" r:id="Rf6b2cfdf685842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34" hidden="0" customWidth="1"/>
    <x:col min="4" max="4" width="34" hidden="0" customWidth="1"/>
    <x:col min="5" max="5" width="34" hidden="0" customWidth="1"/>
    <x:col min="6" max="6" width="44" hidden="0" customWidth="1"/>
    <x:col min="7" max="7" width="48" hidden="0" customWidth="1"/>
  </x:cols>
  <x:sheetData>
    <x:row r="1" ht="15" hidden="0" customHeight="1">
      <x:c r="A1" s="13" t="str">
        <x:v>job_family</x:v>
      </x:c>
      <x:c r="B1" s="13" t="str">
        <x:v>metiers_exemples</x:v>
      </x:c>
      <x:c r="C1" s="13" t="str">
        <x:v>type_etablissement</x:v>
      </x:c>
      <x:c r="D1" s="13" t="str">
        <x:v>routage_prive_probable</x:v>
      </x:c>
      <x:c r="E1" s="13" t="str">
        <x:v>routage_public_probable</x:v>
      </x:c>
      <x:c r="F1" s="13" t="str">
        <x:v>droits_a_surveiller</x:v>
      </x:c>
      <x:c r="G1" s="13" t="str">
        <x:v>notes</x:v>
      </x:c>
    </x:row>
    <x:row r="2" ht="15" hidden="0" customHeight="1">
      <x:c r="A2" s="16" t="str">
        <x:v>Cuisine</x:v>
      </x:c>
      <x:c r="B2" s="16" t="str">
        <x:v>Chef, second, cuisinier, commis, plongeur</x:v>
      </x:c>
      <x:c r="C2" s="16" t="str">
        <x:v>Restaurant/hôtel/café privé</x:v>
      </x:c>
      <x:c r="D2" s="16" t="str">
        <x:v>HCR 1979</x:v>
      </x:c>
      <x:c r="E2" s="16" t="str">
        <x:v>N/A</x:v>
      </x:c>
      <x:c r="F2" s="16" t="str">
        <x:v>Repos, coupures, HS, repas, jours fériés, nuit si service tardif</x:v>
      </x:c>
      <x:c r="G2" s="16" t="str">
        <x:v>Même métier peut relever de 1266 en collectivité ou FPH en hôpital public.</x:v>
      </x:c>
    </x:row>
    <x:row r="3" ht="15" hidden="0" customHeight="1">
      <x:c r="A3" s="16" t="str">
        <x:v>Salle / service</x:v>
      </x:c>
      <x:c r="B3" s="16" t="str">
        <x:v>Serveur, maître d'hôtel, chef de rang, runner, sommelier</x:v>
      </x:c>
      <x:c r="C3" s="16" t="str">
        <x:v>Restaurant/hôtel/café privé</x:v>
      </x:c>
      <x:c r="D3" s="16" t="str">
        <x:v>HCR 1979</x:v>
      </x:c>
      <x:c r="E3" s="16" t="str">
        <x:v>N/A</x:v>
      </x:c>
      <x:c r="F3" s="16" t="str">
        <x:v>Repos hebdo, coupures, jours fériés, pourboires/service, heures nuit</x:v>
      </x:c>
      <x:c r="G3" s="16" t="str">
        <x:v>Attention extras/CDD d'usage.</x:v>
      </x:c>
    </x:row>
    <x:row r="4" ht="15" hidden="0" customHeight="1">
      <x:c r="A4" s="16" t="str">
        <x:v>Bar / café</x:v>
      </x:c>
      <x:c r="B4" s="16" t="str">
        <x:v>Barman, barista, limonadier, cafetier</x:v>
      </x:c>
      <x:c r="C4" s="16" t="str">
        <x:v>Café, bar, brasserie, salon de thé</x:v>
      </x:c>
      <x:c r="D4" s="16" t="str">
        <x:v>HCR 1979 ou 2060/1501 selon concept</x:v>
      </x:c>
      <x:c r="E4" s="16" t="str">
        <x:v>N/A</x:v>
      </x:c>
      <x:c r="F4" s="16" t="str">
        <x:v>Nuit, fermeture tardive, repos, JF, sécurité</x:v>
      </x:c>
      <x:c r="G4" s="16" t="str">
        <x:v>Petit salon de café indépendant souvent HCR ; chaîne rapide peut être 1501/2060.</x:v>
      </x:c>
    </x:row>
    <x:row r="5" ht="15" hidden="0" customHeight="1">
      <x:c r="A5" s="16" t="str">
        <x:v>Restauration rapide</x:v>
      </x:c>
      <x:c r="B5" s="16" t="str">
        <x:v>Équipier polyvalent, manager, livreur interne, préparateur</x:v>
      </x:c>
      <x:c r="C5" s="16" t="str">
        <x:v>Fast-food/vente au comptoir</x:v>
      </x:c>
      <x:c r="D5" s="16" t="str">
        <x:v>1501</x:v>
      </x:c>
      <x:c r="E5" s="16" t="str">
        <x:v>N/A</x:v>
      </x:c>
      <x:c r="F5" s="16" t="str">
        <x:v>Temps partiel, heures complémentaires, prime annuelle, blanchissage, coupures</x:v>
      </x:c>
      <x:c r="G5" s="16" t="str">
        <x:v>Attention plateformes/livraison externalisée hors périmètre salarié classique.</x:v>
      </x:c>
    </x:row>
    <x:row r="6" ht="15" hidden="0" customHeight="1">
      <x:c r="A6" s="16" t="str">
        <x:v>Collective scolaire</x:v>
      </x:c>
      <x:c r="B6" s="16" t="str">
        <x:v>Employé de restauration, agent de cantine, chef gérant</x:v>
      </x:c>
      <x:c r="C6" s="16" t="str">
        <x:v>Cantine scolaire privée/externalisée</x:v>
      </x:c>
      <x:c r="D6" s="16" t="str">
        <x:v>1266</x:v>
      </x:c>
      <x:c r="E6" s="16" t="str">
        <x:v>FPT si régie publique</x:v>
      </x:c>
      <x:c r="F6" s="16" t="str">
        <x:v>Intermittent scolaire, annualisation, coupures, vacances scolaires</x:v>
      </x:c>
      <x:c r="G6" s="16" t="str">
        <x:v>Le routeur doit demander employeur : prestataire privé ou collectivité.</x:v>
      </x:c>
    </x:row>
    <x:row r="7" ht="15" hidden="0" customHeight="1">
      <x:c r="A7" s="16" t="str">
        <x:v>Collective hospitalière</x:v>
      </x:c>
      <x:c r="B7" s="16" t="str">
        <x:v>Cuisinier, agent restauration, diététique logistique</x:v>
      </x:c>
      <x:c r="C7" s="16" t="str">
        <x:v>Hôpital/clinique/EHPAD</x:v>
      </x:c>
      <x:c r="D7" s="16" t="str">
        <x:v>1266 si prestataire ; 2264/FHP ou 0029/FEHAP si salarié établissement</x:v>
      </x:c>
      <x:c r="E7" s="16" t="str">
        <x:v>FPH si hôpital public/EHPAD public</x:v>
      </x:c>
      <x:c r="F7" s="16" t="str">
        <x:v>Cycles, repos FPH, nuit/JF, hygiène, sujétions</x:v>
      </x:c>
      <x:c r="G7" s="16" t="str">
        <x:v>Cas critique privé/public.</x:v>
      </x:c>
    </x:row>
    <x:row r="8" ht="15" hidden="0" customHeight="1">
      <x:c r="A8" s="16" t="str">
        <x:v>Hébergement hôtel</x:v>
      </x:c>
      <x:c r="B8" s="16" t="str">
        <x:v>Réceptionniste, night auditor, gouvernant, femme/valet chambre, bagagiste</x:v>
      </x:c>
      <x:c r="C8" s="16" t="str">
        <x:v>Hôtel privé</x:v>
      </x:c>
      <x:c r="D8" s="16" t="str">
        <x:v>HCR 1979</x:v>
      </x:c>
      <x:c r="E8" s="16" t="str">
        <x:v>N/A</x:v>
      </x:c>
      <x:c r="F8" s="16" t="str">
        <x:v>Nuit, astreinte, repos, jours fériés, coupures, logement éventuel</x:v>
      </x:c>
      <x:c r="G8" s="16" t="str">
        <x:v>Les métiers d'étage ont mêmes familles de droits planning.</x:v>
      </x:c>
    </x:row>
    <x:row r="9" ht="15" hidden="0" customHeight="1">
      <x:c r="A9" s="16" t="str">
        <x:v>Camping / HPA</x:v>
      </x:c>
      <x:c r="B9" s="16" t="str">
        <x:v>Réception camping, animateur, maintenance, ménage, snack</x:v>
      </x:c>
      <x:c r="C9" s="16" t="str">
        <x:v>Camping privé</x:v>
      </x:c>
      <x:c r="D9" s="16" t="str">
        <x:v>1631 HPA ; HCR si restaurant séparé selon employeur</x:v>
      </x:c>
      <x:c r="E9" s="16" t="str">
        <x:v>FPT si camping municipal</x:v>
      </x:c>
      <x:c r="F9" s="16" t="str">
        <x:v>Saisonniers, astreintes, logement, JRTT, horaires haute saison</x:v>
      </x:c>
      <x:c r="G9" s="16" t="str">
        <x:v>Séparer entité camping et entité restaurant.</x:v>
      </x:c>
    </x:row>
    <x:row r="10" ht="15" hidden="0" customHeight="1">
      <x:c r="A10" s="16" t="str">
        <x:v>Tourisme social</x:v>
      </x:c>
      <x:c r="B10" s="16" t="str">
        <x:v>Animateur, cuisine, accueil, hébergement</x:v>
      </x:c>
      <x:c r="C10" s="16" t="str">
        <x:v>Village vacances/centre social</x:v>
      </x:c>
      <x:c r="D10" s="16" t="str">
        <x:v>1316</x:v>
      </x:c>
      <x:c r="E10" s="16" t="str">
        <x:v>FPT/association selon statut</x:v>
      </x:c>
      <x:c r="F10" s="16" t="str">
        <x:v>Saisonnalité, logement, astreinte, nuit, JF</x:v>
      </x:c>
      <x:c r="G10" s="16" t="str">
        <x:v>À router par IDCC/contrat.</x:v>
      </x:c>
    </x:row>
    <x:row r="11" ht="15" hidden="0" customHeight="1">
      <x:c r="A11" s="16" t="str">
        <x:v>Casino restauration</x:v>
      </x:c>
      <x:c r="B11" s="16" t="str">
        <x:v>Serveur, barman, cuisinier, hôtel associé casino</x:v>
      </x:c>
      <x:c r="C11" s="16" t="str">
        <x:v>Casino</x:v>
      </x:c>
      <x:c r="D11" s="16" t="str">
        <x:v>2257</x:v>
      </x:c>
      <x:c r="E11" s="16" t="str">
        <x:v>N/A</x:v>
      </x:c>
      <x:c r="F11" s="16" t="str">
        <x:v>Nuit, dimanches/JF, primes, sécurité</x:v>
      </x:c>
      <x:c r="G11" s="16" t="str">
        <x:v>Ne pas router automatiquement vers HCR si employeur casino.</x:v>
      </x:c>
    </x:row>
    <x:row r="12" ht="15" hidden="0" customHeight="1">
      <x:c r="A12" s="16" t="str">
        <x:v>Ferroviaire</x:v>
      </x:c>
      <x:c r="B12" s="16" t="str">
        <x:v>Steward, chef de bord restauration, préparateur</x:v>
      </x:c>
      <x:c r="C12" s="16" t="str">
        <x:v>Train/restauration ferroviaire</x:v>
      </x:c>
      <x:c r="D12" s="16" t="str">
        <x:v>1311</x:v>
      </x:c>
      <x:c r="E12" s="16" t="str">
        <x:v>N/A</x:v>
      </x:c>
      <x:c r="F12" s="16" t="str">
        <x:v>Déplacements, repos, nuit, JF, primes</x:v>
      </x:c>
      <x:c r="G12" s="16" t="str">
        <x:v>Convention spécifique.</x:v>
      </x:c>
    </x:row>
    <x:row r="13" ht="15" hidden="0" customHeight="1">
      <x:c r="A13" s="16" t="str">
        <x:v>Support technique</x:v>
      </x:c>
      <x:c r="B13" s="16" t="str">
        <x:v>Maintenance, sécurité, lingerie, plonge, économat</x:v>
      </x:c>
      <x:c r="C13" s="16" t="str">
        <x:v>Hôtel/camping/hôpital</x:v>
      </x:c>
      <x:c r="D13" s="16" t="str">
        <x:v>Même IDCC que l'employeur principal</x:v>
      </x:c>
      <x:c r="E13" s="16" t="str">
        <x:v>Même statut public que l'employeur</x:v>
      </x:c>
      <x:c r="F13" s="16" t="str">
        <x:v>Astreinte, nuit, repos, EPI/blanchissage</x:v>
      </x:c>
      <x:c r="G13" s="16" t="str">
        <x:v>Métier support suit souvent la convention de l'entreprise.</x:v>
      </x:c>
    </x:row>
  </x:sheetData>
  <x:pageMargins left="0.7" right="0.7" top="0.75" bottom="0.75" header="0.3" footer="0.3"/>
  <x:tableParts count="1">
    <x:tablePart xmlns:r="http://schemas.openxmlformats.org/officeDocument/2006/relationships" r:id="R0f523d77831a4c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0" hidden="0" customWidth="1"/>
    <x:col min="4" max="4" width="44" hidden="0" customWidth="1"/>
    <x:col min="5" max="5" width="50" hidden="0" customWidth="1"/>
  </x:cols>
  <x:sheetData>
    <x:row r="1" ht="15" hidden="0" customHeight="1">
      <x:c r="A1" s="13" t="str">
        <x:v>table</x:v>
      </x:c>
      <x:c r="B1" s="13" t="str">
        <x:v>champ_cle</x:v>
      </x:c>
      <x:c r="C1" s="13" t="str">
        <x:v>champs_recommandes</x:v>
      </x:c>
      <x:c r="D1" s="13" t="str">
        <x:v>objectif</x:v>
      </x:c>
      <x:c r="E1" s="13" t="str">
        <x:v>exemple</x:v>
      </x:c>
    </x:row>
    <x:row r="2" ht="15" hidden="0" customHeight="1">
      <x:c r="A2" s="16" t="str">
        <x:v>collective_agreement</x:v>
      </x:c>
      <x:c r="B2" s="16" t="str">
        <x:v>agreement_key</x:v>
      </x:c>
      <x:c r="C2" s="16" t="str">
        <x:v>regime, idcc, nom, date_effet, statut, source_url</x:v>
      </x:c>
      <x:c r="D2" s="16" t="str">
        <x:v>Identifier la règle conventionnelle ou statutaire applicable</x:v>
      </x:c>
      <x:c r="E2" s="16" t="str">
        <x:v>CCN_HCR_1979 / idcc=1979</x:v>
      </x:c>
    </x:row>
    <x:row r="3" ht="15" hidden="0" customHeight="1">
      <x:c r="A3" s="16" t="str">
        <x:v>employee_context</x:v>
      </x:c>
      <x:c r="B3" s="16" t="str">
        <x:v>employee_id</x:v>
      </x:c>
      <x:c r="C3" s="16" t="str">
        <x:v>regime, idcc, employer_type, contract_type, full_time_pct, seniority_date, location, public_regime, schedule_type</x:v>
      </x:c>
      <x:c r="D3" s="16" t="str">
        <x:v>Contexte pour résoudre les droits</x:v>
      </x:c>
      <x:c r="E3" s="16" t="str">
        <x:v>privé, idcc 1979, saisonnier, 80%, Alsace-Moselle</x:v>
      </x:c>
    </x:row>
    <x:row r="4" ht="15" hidden="0" customHeight="1">
      <x:c r="A4" s="16" t="str">
        <x:v>legal_right</x:v>
      </x:c>
      <x:c r="B4" s="16" t="str">
        <x:v>right_id</x:v>
      </x:c>
      <x:c r="C4" s="16" t="str">
        <x:v>famille, libelle, unite, paid_default, is_counter, is_absence, legal_floor</x:v>
      </x:c>
      <x:c r="D4" s="16" t="str">
        <x:v>Catalogue fonctionnel des droits</x:v>
      </x:c>
      <x:c r="E4" s="16" t="str">
        <x:v>ABS_ENFANT_MALADE</x:v>
      </x:c>
    </x:row>
    <x:row r="5" ht="15" hidden="0" customHeight="1">
      <x:c r="A5" s="16" t="str">
        <x:v>right_rule</x:v>
      </x:c>
      <x:c r="B5" s="16" t="str">
        <x:v>rule_id</x:v>
      </x:c>
      <x:c r="C5" s="16" t="str">
        <x:v>right_id, source_level, idcc, public_regime, effective_from, effective_to, condition_json, entitlement_json, priority</x:v>
      </x:c>
      <x:c r="D5" s="16" t="str">
        <x:v>Moteur de règles daté et sourcé</x:v>
      </x:c>
      <x:c r="E5" s="16" t="str">
        <x:v>si age_enfant&lt;1 =&gt; entitlement 5 jours/an</x:v>
      </x:c>
    </x:row>
    <x:row r="6" ht="15" hidden="0" customHeight="1">
      <x:c r="A6" s="16" t="str">
        <x:v>counter</x:v>
      </x:c>
      <x:c r="B6" s="16" t="str">
        <x:v>counter_id</x:v>
      </x:c>
      <x:c r="C6" s="16" t="str">
        <x:v>employee_id, right_id, period_start, period_end, acquired, used, pending, balance</x:v>
      </x:c>
      <x:c r="D6" s="16" t="str">
        <x:v>Suivi des compteurs</x:v>
      </x:c>
      <x:c r="E6" s="16" t="str">
        <x:v>CP, RTT, JF_HCR_GARANTI, RCR</x:v>
      </x:c>
    </x:row>
    <x:row r="7" ht="15" hidden="0" customHeight="1">
      <x:c r="A7" s="16" t="str">
        <x:v>absence_request</x:v>
      </x:c>
      <x:c r="B7" s="16" t="str">
        <x:v>request_id</x:v>
      </x:c>
      <x:c r="C7" s="16" t="str">
        <x:v>employee_id, right_id, start, end, unit, status, proof_required, proof_received, paid_flag</x:v>
      </x:c>
      <x:c r="D7" s="16" t="str">
        <x:v>Demande/validation d'absence</x:v>
      </x:c>
      <x:c r="E7" s="16" t="str">
        <x:v>ABS_DECES_PROCHES 3 jours</x:v>
      </x:c>
    </x:row>
    <x:row r="8" ht="15" hidden="0" customHeight="1">
      <x:c r="A8" s="16" t="str">
        <x:v>schedule_validation</x:v>
      </x:c>
      <x:c r="B8" s="16" t="str">
        <x:v>validation_id</x:v>
      </x:c>
      <x:c r="C8" s="16" t="str">
        <x:v>employee_id, shift_id, rule_id, severity, message, blocking</x:v>
      </x:c>
      <x:c r="D8" s="16" t="str">
        <x:v>Contrôles automatiques planning</x:v>
      </x:c>
      <x:c r="E8" s="16" t="str">
        <x:v>Repos quotidien &lt; 11h =&gt; bloquant</x:v>
      </x:c>
    </x:row>
    <x:row r="9" ht="15" hidden="0" customHeight="1">
      <x:c r="A9" s="16" t="str">
        <x:v>source_registry</x:v>
      </x:c>
      <x:c r="B9" s="16" t="str">
        <x:v>source_id</x:v>
      </x:c>
      <x:c r="C9" s="16" t="str">
        <x:v>authority, url, checked_at, effective_from, notes</x:v>
      </x:c>
      <x:c r="D9" s="16" t="str">
        <x:v>Traçabilité juridique et mises à jour</x:v>
      </x:c>
      <x:c r="E9" s="16" t="str">
        <x:v>Service-public F2258, vérifié 2026-06-28</x:v>
      </x:c>
    </x:row>
  </x:sheetData>
  <x:pageMargins left="0.7" right="0.7" top="0.75" bottom="0.75" header="0.3" footer="0.3"/>
  <x:tableParts count="1">
    <x:tablePart xmlns:r="http://schemas.openxmlformats.org/officeDocument/2006/relationships" r:id="Rc3efe882a365473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4" hidden="0" customWidth="1"/>
    <x:col min="4" max="4" width="40" hidden="0" customWidth="1"/>
    <x:col min="5" max="5" width="24" hidden="0" customWidth="1"/>
    <x:col min="6" max="6" width="36" hidden="0" customWidth="1"/>
  </x:cols>
  <x:sheetData>
    <x:row r="1" ht="15" hidden="0" customHeight="1">
      <x:c r="A1" s="13" t="str">
        <x:v>tag_toquehub</x:v>
      </x:c>
      <x:c r="B1" s="13" t="str">
        <x:v>nom_affiche</x:v>
      </x:c>
      <x:c r="C1" s="13" t="str">
        <x:v>origine_juridique_ou_metier</x:v>
      </x:c>
      <x:c r="D1" s="13" t="str">
        <x:v>sens_planning</x:v>
      </x:c>
      <x:c r="E1" s="13" t="str">
        <x:v>compteur_associe</x:v>
      </x:c>
      <x:c r="F1" s="13" t="str">
        <x:v>ne_pas_confondre_avec</x:v>
      </x:c>
    </x:row>
    <x:row r="2" ht="15" hidden="0" customHeight="1">
      <x:c r="A2" s="16" t="str">
        <x:v>HEURE_VERTE</x:v>
      </x:c>
      <x:c r="B2" s="16" t="str">
        <x:v>Heure verte</x:v>
      </x:c>
      <x:c r="C2" s="16" t="str">
        <x:v>Tag interne Toquehub, pas un droit légal autonome</x:v>
      </x:c>
      <x:c r="D2" s="16" t="str">
        <x:v>Créneau disponible/non affecté ou récupérable selon contexte</x:v>
      </x:c>
      <x:c r="E2" s="16" t="str">
        <x:v>Aucun sans origine</x:v>
      </x:c>
      <x:c r="F2" s="16" t="str">
        <x:v>Repos compensateur, RTT, récupération, CET</x:v>
      </x:c>
    </x:row>
    <x:row r="3" ht="15" hidden="0" customHeight="1">
      <x:c r="A3" s="16" t="str">
        <x:v>RECUP_HS</x:v>
      </x:c>
      <x:c r="B3" s="16" t="str">
        <x:v>Récupération heure supplémentaire</x:v>
      </x:c>
      <x:c r="C3" s="16" t="str">
        <x:v>Repos compensateur/remplacement d'heures sup</x:v>
      </x:c>
      <x:c r="D3" s="16" t="str">
        <x:v>Crédit d'heures à poser</x:v>
      </x:c>
      <x:c r="E3" s="16" t="str">
        <x:v>RCR/HS</x:v>
      </x:c>
      <x:c r="F3" s="16" t="str">
        <x:v>RTT</x:v>
      </x:c>
    </x:row>
    <x:row r="4" ht="15" hidden="0" customHeight="1">
      <x:c r="A4" s="16" t="str">
        <x:v>RCR</x:v>
      </x:c>
      <x:c r="B4" s="16" t="str">
        <x:v>Repos compensateur de remplacement</x:v>
      </x:c>
      <x:c r="C4" s="16" t="str">
        <x:v>Remplacement paiement HS par repos équivalent majoré</x:v>
      </x:c>
      <x:c r="D4" s="16" t="str">
        <x:v>Compteur repos payé</x:v>
      </x:c>
      <x:c r="E4" s="16" t="str">
        <x:v>RCR</x:v>
      </x:c>
      <x:c r="F4" s="16" t="str">
        <x:v>Contrepartie obligatoire en repos</x:v>
      </x:c>
    </x:row>
    <x:row r="5" ht="15" hidden="0" customHeight="1">
      <x:c r="A5" s="16" t="str">
        <x:v>COR</x:v>
      </x:c>
      <x:c r="B5" s="16" t="str">
        <x:v>Contrepartie obligatoire en repos</x:v>
      </x:c>
      <x:c r="C5" s="16" t="str">
        <x:v>Repos dû en cas de dépassement contingent HS</x:v>
      </x:c>
      <x:c r="D5" s="16" t="str">
        <x:v>Compteur repos obligatoire</x:v>
      </x:c>
      <x:c r="E5" s="16" t="str">
        <x:v>COR</x:v>
      </x:c>
      <x:c r="F5" s="16" t="str">
        <x:v>RCR</x:v>
      </x:c>
    </x:row>
    <x:row r="6" ht="15" hidden="0" customHeight="1">
      <x:c r="A6" s="16" t="str">
        <x:v>RTT</x:v>
      </x:c>
      <x:c r="B6" s="16" t="str">
        <x:v>RTT</x:v>
      </x:c>
      <x:c r="C6" s="16" t="str">
        <x:v>Accord de réduction du temps de travail</x:v>
      </x:c>
      <x:c r="D6" s="16" t="str">
        <x:v>Journée/demi-journée à poser</x:v>
      </x:c>
      <x:c r="E6" s="16" t="str">
        <x:v>RTT</x:v>
      </x:c>
      <x:c r="F6" s="16" t="str">
        <x:v>CP</x:v>
      </x:c>
    </x:row>
    <x:row r="7" ht="15" hidden="0" customHeight="1">
      <x:c r="A7" s="16" t="str">
        <x:v>JRTT</x:v>
      </x:c>
      <x:c r="B7" s="16" t="str">
        <x:v>JRTT</x:v>
      </x:c>
      <x:c r="C7" s="16" t="str">
        <x:v>Variante branche/entreprise des jours RTT</x:v>
      </x:c>
      <x:c r="D7" s="16" t="str">
        <x:v>Journée/demi-journée à poser</x:v>
      </x:c>
      <x:c r="E7" s="16" t="str">
        <x:v>JRTT</x:v>
      </x:c>
      <x:c r="F7" s="16" t="str">
        <x:v>CP</x:v>
      </x:c>
    </x:row>
    <x:row r="8" ht="15" hidden="0" customHeight="1">
      <x:c r="A8" s="16" t="str">
        <x:v>ANNUALISATION_CREDIT</x:v>
      </x:c>
      <x:c r="B8" s="16" t="str">
        <x:v>Crédit annualisation</x:v>
      </x:c>
      <x:c r="C8" s="16" t="str">
        <x:v>Aménagement/annualisation du temps de travail</x:v>
      </x:c>
      <x:c r="D8" s="16" t="str">
        <x:v>Solde positif à récupérer ou payer selon accord</x:v>
      </x:c>
      <x:c r="E8" s="16" t="str">
        <x:v>ANNUALISATION</x:v>
      </x:c>
      <x:c r="F8" s="16" t="str">
        <x:v>Heures sup immédiates</x:v>
      </x:c>
    </x:row>
    <x:row r="9" ht="15" hidden="0" customHeight="1">
      <x:c r="A9" s="16" t="str">
        <x:v>JF_COMPENSE</x:v>
      </x:c>
      <x:c r="B9" s="16" t="str">
        <x:v>Jour férié compensé</x:v>
      </x:c>
      <x:c r="C9" s="16" t="str">
        <x:v>Jour férié travaillé ou garanti selon convention</x:v>
      </x:c>
      <x:c r="D9" s="16" t="str">
        <x:v>Repos ou indemnité lié au JF</x:v>
      </x:c>
      <x:c r="E9" s="16" t="str">
        <x:v>JF</x:v>
      </x:c>
      <x:c r="F9" s="16" t="str">
        <x:v>Repos hebdomadaire</x:v>
      </x:c>
    </x:row>
    <x:row r="10" ht="15" hidden="0" customHeight="1">
      <x:c r="A10" s="16" t="str">
        <x:v>REPOS_HEBDO_REPORTE</x:v>
      </x:c>
      <x:c r="B10" s="16" t="str">
        <x:v>Repos hebdo reporté</x:v>
      </x:c>
      <x:c r="C10" s="16" t="str">
        <x:v>Dérogation/reports conventionnels</x:v>
      </x:c>
      <x:c r="D10" s="16" t="str">
        <x:v>Repos à repositionner</x:v>
      </x:c>
      <x:c r="E10" s="16" t="str">
        <x:v>REPOS_HEBDO</x:v>
      </x:c>
      <x:c r="F10" s="16" t="str">
        <x:v>Récupération HS</x:v>
      </x:c>
    </x:row>
    <x:row r="11" ht="15" hidden="0" customHeight="1">
      <x:c r="A11" s="16" t="str">
        <x:v>CET</x:v>
      </x:c>
      <x:c r="B11" s="16" t="str">
        <x:v>Compte épargne temps</x:v>
      </x:c>
      <x:c r="C11" s="16" t="str">
        <x:v>Dispositif d'épargne de jours</x:v>
      </x:c>
      <x:c r="D11" s="16" t="str">
        <x:v>Stock long terme</x:v>
      </x:c>
      <x:c r="E11" s="16" t="str">
        <x:v>CET</x:v>
      </x:c>
      <x:c r="F11" s="16" t="str">
        <x:v>CP acquis de l'année</x:v>
      </x:c>
    </x:row>
  </x:sheetData>
  <x:pageMargins left="0.7" right="0.7" top="0.75" bottom="0.75" header="0.3" footer="0.3"/>
  <x:tableParts count="1">
    <x:tablePart xmlns:r="http://schemas.openxmlformats.org/officeDocument/2006/relationships" r:id="R7241650a484744a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90" hidden="0" customWidth="1"/>
    <x:col min="4" max="4" width="44" hidden="0" customWidth="1"/>
    <x:col min="5" max="5" width="24" hidden="0" customWidth="1"/>
    <x:col min="6" max="6" width="28" hidden="0" customWidth="1"/>
  </x:cols>
  <x:sheetData>
    <x:row r="1" ht="15" hidden="0" customHeight="1">
      <x:c r="A1" s="13" t="str">
        <x:v>source_id</x:v>
      </x:c>
      <x:c r="B1" s="13" t="str">
        <x:v>autorite</x:v>
      </x:c>
      <x:c r="C1" s="13" t="str">
        <x:v>url</x:v>
      </x:c>
      <x:c r="D1" s="13" t="str">
        <x:v>perimetre</x:v>
      </x:c>
      <x:c r="E1" s="13" t="str">
        <x:v>type_source</x:v>
      </x:c>
      <x:c r="F1" s="13" t="str">
        <x:v>frequence_maj_recommandee</x:v>
      </x:c>
    </x:row>
    <x:row r="2" ht="15" hidden="0" customHeight="1">
      <x:c r="A2" s="16" t="str">
        <x:v>SP_CP</x:v>
      </x:c>
      <x:c r="B2" s="16" t="str">
        <x:v>Service Public</x:v>
      </x:c>
      <x:c r="C2" s="16" t="str">
        <x:v>https://www.service-public.gouv.fr/particuliers/vosdroits/F2258</x:v>
      </x:c>
      <x:c r="D2" s="16" t="str">
        <x:v>Congés payés secteur privé</x:v>
      </x:c>
      <x:c r="E2" s="16" t="str">
        <x:v>Officiel</x:v>
      </x:c>
      <x:c r="F2" s="16" t="str">
        <x:v>mensuelle + veille réforme</x:v>
      </x:c>
    </x:row>
    <x:row r="3" ht="15" hidden="0" customHeight="1">
      <x:c r="A3" s="16" t="str">
        <x:v>SP_CP_MALADIE</x:v>
      </x:c>
      <x:c r="B3" s="16" t="str">
        <x:v>Service Public</x:v>
      </x:c>
      <x:c r="C3" s="16" t="str">
        <x:v>https://www.service-public.gouv.fr/particuliers/vosdroits/F37482</x:v>
      </x:c>
      <x:c r="D3" s="16" t="str">
        <x:v>CP pendant maladie</x:v>
      </x:c>
      <x:c r="E3" s="16" t="str">
        <x:v>Officiel</x:v>
      </x:c>
      <x:c r="F3" s="16" t="str">
        <x:v>mensuelle</x:v>
      </x:c>
    </x:row>
    <x:row r="4" ht="15" hidden="0" customHeight="1">
      <x:c r="A4" s="16" t="str">
        <x:v>LEGIF_FAMILY</x:v>
      </x:c>
      <x:c r="B4" s="16" t="str">
        <x:v>Légifrance</x:v>
      </x:c>
      <x:c r="C4" s="16" t="str">
        <x:v>https://www.legifrance.gouv.fr/codes/article_lc/LEGIARTI000047864715</x:v>
      </x:c>
      <x:c r="D4" s="16" t="str">
        <x:v>Article L3142-4 absences familiales</x:v>
      </x:c>
      <x:c r="E4" s="16" t="str">
        <x:v>Code du travail</x:v>
      </x:c>
      <x:c r="F4" s="16" t="str">
        <x:v>hebdomadaire</x:v>
      </x:c>
    </x:row>
    <x:row r="5" ht="15" hidden="0" customHeight="1">
      <x:c r="A5" s="16" t="str">
        <x:v>SP_ENFANT_MALADE</x:v>
      </x:c>
      <x:c r="B5" s="16" t="str">
        <x:v>Service Public</x:v>
      </x:c>
      <x:c r="C5" s="16" t="str">
        <x:v>https://www.service-public.gouv.fr/particuliers/vosdroits/F151</x:v>
      </x:c>
      <x:c r="D5" s="16" t="str">
        <x:v>Enfant malade</x:v>
      </x:c>
      <x:c r="E5" s="16" t="str">
        <x:v>Officiel</x:v>
      </x:c>
      <x:c r="F5" s="16" t="str">
        <x:v>mensuelle</x:v>
      </x:c>
    </x:row>
    <x:row r="6" ht="15" hidden="0" customHeight="1">
      <x:c r="A6" s="16" t="str">
        <x:v>SP_JOURS_FERIES</x:v>
      </x:c>
      <x:c r="B6" s="16" t="str">
        <x:v>Service Public</x:v>
      </x:c>
      <x:c r="C6" s="16" t="str">
        <x:v>https://www.service-public.gouv.fr/particuliers/vosdroits/F2405</x:v>
      </x:c>
      <x:c r="D6" s="16" t="str">
        <x:v>Jours fériés, ponts, journée solidarité</x:v>
      </x:c>
      <x:c r="E6" s="16" t="str">
        <x:v>Officiel</x:v>
      </x:c>
      <x:c r="F6" s="16" t="str">
        <x:v>mensuelle</x:v>
      </x:c>
    </x:row>
    <x:row r="7" ht="15" hidden="0" customHeight="1">
      <x:c r="A7" s="16" t="str">
        <x:v>SP_HS</x:v>
      </x:c>
      <x:c r="B7" s="16" t="str">
        <x:v>Service Public</x:v>
      </x:c>
      <x:c r="C7" s="16" t="str">
        <x:v>https://www.service-public.gouv.fr/particuliers/vosdroits/F2391</x:v>
      </x:c>
      <x:c r="D7" s="16" t="str">
        <x:v>Heures supplémentaires privé</x:v>
      </x:c>
      <x:c r="E7" s="16" t="str">
        <x:v>Officiel</x:v>
      </x:c>
      <x:c r="F7" s="16" t="str">
        <x:v>mensuelle</x:v>
      </x:c>
    </x:row>
    <x:row r="8" ht="15" hidden="0" customHeight="1">
      <x:c r="A8" s="16" t="str">
        <x:v>SP_REPOS</x:v>
      </x:c>
      <x:c r="B8" s="16" t="str">
        <x:v>Service Public</x:v>
      </x:c>
      <x:c r="C8" s="16" t="str">
        <x:v>https://www.service-public.gouv.fr/particuliers/vosdroits/F990 ; https://www.service-public.gouv.fr/particuliers/vosdroits/F2327 ; https://www.service-public.gouv.fr/particuliers/vosdroits/F18205</x:v>
      </x:c>
      <x:c r="D8" s="16" t="str">
        <x:v>Repos quotidien/hebdo/pause</x:v>
      </x:c>
      <x:c r="E8" s="16" t="str">
        <x:v>Officiel</x:v>
      </x:c>
      <x:c r="F8" s="16" t="str">
        <x:v>mensuelle</x:v>
      </x:c>
    </x:row>
    <x:row r="9" ht="15" hidden="0" customHeight="1">
      <x:c r="A9" s="16" t="str">
        <x:v>HCR</x:v>
      </x:c>
      <x:c r="B9" s="16" t="str">
        <x:v>Légifrance</x:v>
      </x:c>
      <x:c r="C9" s="16" t="str">
        <x:v>https://www.legifrance.gouv.fr/conv_coll/id/KALICONT000005635534/</x:v>
      </x:c>
      <x:c r="D9" s="16" t="str">
        <x:v>Convention HCR IDCC 1979</x:v>
      </x:c>
      <x:c r="E9" s="16" t="str">
        <x:v>Convention collective</x:v>
      </x:c>
      <x:c r="F9" s="16" t="str">
        <x:v>hebdomadaire</x:v>
      </x:c>
    </x:row>
    <x:row r="10" ht="15" hidden="0" customHeight="1">
      <x:c r="A10" s="16" t="str">
        <x:v>RR</x:v>
      </x:c>
      <x:c r="B10" s="16" t="str">
        <x:v>Code du travail numérique</x:v>
      </x:c>
      <x:c r="C10" s="16" t="str">
        <x:v>https://code.travail.gouv.fr/convention-collective/1501-restauration-rapide</x:v>
      </x:c>
      <x:c r="D10" s="16" t="str">
        <x:v>Restauration rapide IDCC 1501</x:v>
      </x:c>
      <x:c r="E10" s="16" t="str">
        <x:v>Convention/outil officiel</x:v>
      </x:c>
      <x:c r="F10" s="16" t="str">
        <x:v>hebdomadaire</x:v>
      </x:c>
    </x:row>
    <x:row r="11" ht="15" hidden="0" customHeight="1">
      <x:c r="A11" s="16" t="str">
        <x:v>COLLECTIVE</x:v>
      </x:c>
      <x:c r="B11" s="16" t="str">
        <x:v>Légifrance</x:v>
      </x:c>
      <x:c r="C11" s="16" t="str">
        <x:v>https://www.legifrance.gouv.fr/conv_coll/id/KALITEXT000005640425</x:v>
      </x:c>
      <x:c r="D11" s="16" t="str">
        <x:v>Restauration collective IDCC 1266</x:v>
      </x:c>
      <x:c r="E11" s="16" t="str">
        <x:v>Convention collective</x:v>
      </x:c>
      <x:c r="F11" s="16" t="str">
        <x:v>hebdomadaire</x:v>
      </x:c>
    </x:row>
    <x:row r="12" ht="15" hidden="0" customHeight="1">
      <x:c r="A12" s="16" t="str">
        <x:v>HPA</x:v>
      </x:c>
      <x:c r="B12" s="16" t="str">
        <x:v>Légifrance</x:v>
      </x:c>
      <x:c r="C12" s="16" t="str">
        <x:v>https://www.legifrance.gouv.fr/conv_coll/id/KALICONT000005635252</x:v>
      </x:c>
      <x:c r="D12" s="16" t="str">
        <x:v>Hôtellerie de plein air IDCC 1631</x:v>
      </x:c>
      <x:c r="E12" s="16" t="str">
        <x:v>Convention collective</x:v>
      </x:c>
      <x:c r="F12" s="16" t="str">
        <x:v>hebdomadaire</x:v>
      </x:c>
    </x:row>
    <x:row r="13" ht="15" hidden="0" customHeight="1">
      <x:c r="A13" s="16" t="str">
        <x:v>CAFETERIAS</x:v>
      </x:c>
      <x:c r="B13" s="16" t="str">
        <x:v>Légifrance</x:v>
      </x:c>
      <x:c r="C13" s="16" t="str">
        <x:v>https://www.legifrance.gouv.fr/conv_coll/id/KALICONT000005635326</x:v>
      </x:c>
      <x:c r="D13" s="16" t="str">
        <x:v>Chaînes de cafétérias IDCC 2060</x:v>
      </x:c>
      <x:c r="E13" s="16" t="str">
        <x:v>Convention collective</x:v>
      </x:c>
      <x:c r="F13" s="16" t="str">
        <x:v>hebdomadaire</x:v>
      </x:c>
    </x:row>
    <x:row r="14" ht="15" hidden="0" customHeight="1">
      <x:c r="A14" s="16" t="str">
        <x:v>TOURISME_SOCIAL</x:v>
      </x:c>
      <x:c r="B14" s="16" t="str">
        <x:v>Légifrance</x:v>
      </x:c>
      <x:c r="C14" s="16" t="str">
        <x:v>https://www.legifrance.gouv.fr/conv_coll/id/KALICONT000005635867</x:v>
      </x:c>
      <x:c r="D14" s="16" t="str">
        <x:v>Tourisme social/familial IDCC 1316</x:v>
      </x:c>
      <x:c r="E14" s="16" t="str">
        <x:v>Convention collective</x:v>
      </x:c>
      <x:c r="F14" s="16" t="str">
        <x:v>hebdomadaire</x:v>
      </x:c>
    </x:row>
    <x:row r="15" ht="15" hidden="0" customHeight="1">
      <x:c r="A15" s="16" t="str">
        <x:v>CASINOS</x:v>
      </x:c>
      <x:c r="B15" s="16" t="str">
        <x:v>Légifrance</x:v>
      </x:c>
      <x:c r="C15" s="16" t="str">
        <x:v>https://www.legifrance.gouv.fr/conv_coll/id/KALICONT000005635618</x:v>
      </x:c>
      <x:c r="D15" s="16" t="str">
        <x:v>Casinos IDCC 2257</x:v>
      </x:c>
      <x:c r="E15" s="16" t="str">
        <x:v>Convention collective</x:v>
      </x:c>
      <x:c r="F15" s="16" t="str">
        <x:v>hebdomadaire</x:v>
      </x:c>
    </x:row>
    <x:row r="16" ht="15" hidden="0" customHeight="1">
      <x:c r="A16" s="16" t="str">
        <x:v>FERROVIAIRE</x:v>
      </x:c>
      <x:c r="B16" s="16" t="str">
        <x:v>Légifrance</x:v>
      </x:c>
      <x:c r="C16" s="16" t="str">
        <x:v>https://www.legifrance.gouv.fr/conv_coll/id/KALICONT000005635694</x:v>
      </x:c>
      <x:c r="D16" s="16" t="str">
        <x:v>Restauration ferroviaire IDCC 1311</x:v>
      </x:c>
      <x:c r="E16" s="16" t="str">
        <x:v>Convention collective</x:v>
      </x:c>
      <x:c r="F16" s="16" t="str">
        <x:v>hebdomadaire</x:v>
      </x:c>
    </x:row>
    <x:row r="17" ht="15" hidden="0" customHeight="1">
      <x:c r="A17" s="16" t="str">
        <x:v>FHP</x:v>
      </x:c>
      <x:c r="B17" s="16" t="str">
        <x:v>Légifrance</x:v>
      </x:c>
      <x:c r="C17" s="16" t="str">
        <x:v>https://www.legifrance.gouv.fr/conv_coll/id/KALICONT000005635813</x:v>
      </x:c>
      <x:c r="D17" s="16" t="str">
        <x:v>Hospitalisation privée IDCC 2264</x:v>
      </x:c>
      <x:c r="E17" s="16" t="str">
        <x:v>Convention collective</x:v>
      </x:c>
      <x:c r="F17" s="16" t="str">
        <x:v>hebdomadaire</x:v>
      </x:c>
    </x:row>
    <x:row r="18" ht="15" hidden="0" customHeight="1">
      <x:c r="A18" s="16" t="str">
        <x:v>FEHAP</x:v>
      </x:c>
      <x:c r="B18" s="16" t="str">
        <x:v>Légifrance</x:v>
      </x:c>
      <x:c r="C18" s="16" t="str">
        <x:v>https://www.legifrance.gouv.fr/conv_coll/id/KALICONT000005635234</x:v>
      </x:c>
      <x:c r="D18" s="16" t="str">
        <x:v>FEHAP 51 IDCC 29</x:v>
      </x:c>
      <x:c r="E18" s="16" t="str">
        <x:v>Convention collective</x:v>
      </x:c>
      <x:c r="F18" s="16" t="str">
        <x:v>hebdomadaire</x:v>
      </x:c>
    </x:row>
    <x:row r="19" ht="15" hidden="0" customHeight="1">
      <x:c r="A19" s="16" t="str">
        <x:v>FP_PUBLIC</x:v>
      </x:c>
      <x:c r="B19" s="16" t="str">
        <x:v>Service Public</x:v>
      </x:c>
      <x:c r="C19" s="16" t="str">
        <x:v>https://www.service-public.gouv.fr/particuliers/vosdroits/N20276 ; https://www.service-public.gouv.fr/particuliers/vosdroits/F488</x:v>
      </x:c>
      <x:c r="D19" s="16" t="str">
        <x:v>Fonction publique générale</x:v>
      </x:c>
      <x:c r="E19" s="16" t="str">
        <x:v>Officiel</x:v>
      </x:c>
      <x:c r="F19" s="16" t="str">
        <x:v>mensuelle</x:v>
      </x:c>
    </x:row>
    <x:row r="20" ht="15" hidden="0" customHeight="1">
      <x:c r="A20" s="16" t="str">
        <x:v>FPH</x:v>
      </x:c>
      <x:c r="B20" s="16" t="str">
        <x:v>Service Public</x:v>
      </x:c>
      <x:c r="C20" s="16" t="str">
        <x:v>https://www.service-public.gouv.fr/particuliers/vosdroits/F573 ; https://www.service-public.gouv.fr/particuliers/vosdroits/F595</x:v>
      </x:c>
      <x:c r="D20" s="16" t="str">
        <x:v>Fonction publique hospitalière</x:v>
      </x:c>
      <x:c r="E20" s="16" t="str">
        <x:v>Officiel</x:v>
      </x:c>
      <x:c r="F20" s="16" t="str">
        <x:v>mensuelle</x:v>
      </x:c>
    </x:row>
  </x:sheetData>
  <x:pageMargins left="0.7" right="0.7" top="0.75" bottom="0.75" header="0.3" footer="0.3"/>
  <x:tableParts count="1">
    <x:tablePart xmlns:r="http://schemas.openxmlformats.org/officeDocument/2006/relationships" r:id="R9a1679bae61749f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70" hidden="0" customWidth="1"/>
    <x:col min="4" max="4" width="50" hidden="0" customWidth="1"/>
    <x:col min="5" max="5" width="50" hidden="0" customWidth="1"/>
  </x:cols>
  <x:sheetData>
    <x:row r="1" ht="15" hidden="0" customHeight="1">
      <x:c r="A1" s="13" t="str">
        <x:v>lot</x:v>
      </x:c>
      <x:c r="B1" s="13" t="str">
        <x:v>priorite</x:v>
      </x:c>
      <x:c r="C1" s="13" t="str">
        <x:v>travail_a_faire</x:v>
      </x:c>
      <x:c r="D1" s="13" t="str">
        <x:v>sortie_attendue</x:v>
      </x:c>
      <x:c r="E1" s="13" t="str">
        <x:v>risque_si_non_fait</x:v>
      </x:c>
    </x:row>
    <x:row r="2" ht="15" hidden="0" customHeight="1">
      <x:c r="A2" s="16" t="str">
        <x:v>Extraction article HCR</x:v>
      </x:c>
      <x:c r="B2" s="16" t="n">
        <x:v>1</x:v>
      </x:c>
      <x:c r="C2" s="16" t="str">
        <x:v>Extraire précisément articles HCR temps de travail, JF, maladie, nuit, repas, logement, saisonniers</x:v>
      </x:c>
      <x:c r="D2" s="16" t="str">
        <x:v>Règles JSON datées pour IDCC 1979</x:v>
      </x:c>
      <x:c r="E2" s="16" t="str">
        <x:v>Erreurs de compensation JF/repos.</x:v>
      </x:c>
    </x:row>
    <x:row r="3" ht="15" hidden="0" customHeight="1">
      <x:c r="A3" s="16" t="str">
        <x:v>Restauration collective 1266</x:v>
      </x:c>
      <x:c r="B3" s="16" t="n">
        <x:v>1</x:v>
      </x:c>
      <x:c r="C3" s="16" t="str">
        <x:v>Extraire travail intermittent scolaire, changement prestataire, primes, temps partiel, jours fériés, week-end/nuit</x:v>
      </x:c>
      <x:c r="D3" s="16" t="str">
        <x:v>Règles 1266 complètes</x:v>
      </x:c>
      <x:c r="E3" s="16" t="str">
        <x:v>Mauvais routage cantines/hôpitaux externalisés.</x:v>
      </x:c>
    </x:row>
    <x:row r="4" ht="15" hidden="0" customHeight="1">
      <x:c r="A4" s="16" t="str">
        <x:v>Hôpitaux privés FHP/FEHAP</x:v>
      </x:c>
      <x:c r="B4" s="16" t="n">
        <x:v>1</x:v>
      </x:c>
      <x:c r="C4" s="16" t="str">
        <x:v>Identifier règles cuisine/restauration interne : cycles, repos, nuit/JF, RTT, absences conventionnelles</x:v>
      </x:c>
      <x:c r="D4" s="16" t="str">
        <x:v>Règles santé privé IDCC 2264/29</x:v>
      </x:c>
      <x:c r="E4" s="16" t="str">
        <x:v>Confusion avec FPH ou 1266.</x:v>
      </x:c>
    </x:row>
    <x:row r="5" ht="15" hidden="0" customHeight="1">
      <x:c r="A5" s="16" t="str">
        <x:v>Campings HPA</x:v>
      </x:c>
      <x:c r="B5" s="16" t="n">
        <x:v>1</x:v>
      </x:c>
      <x:c r="C5" s="16" t="str">
        <x:v>Extraire saisonniers, RTT/JRTT, astreintes, logement, jours fériés, repos, durée CDD saisonnier</x:v>
      </x:c>
      <x:c r="D5" s="16" t="str">
        <x:v>Règles IDCC 1631</x:v>
      </x:c>
      <x:c r="E5" s="16" t="str">
        <x:v>Mauvais planning haute saison.</x:v>
      </x:c>
    </x:row>
    <x:row r="6" ht="15" hidden="0" customHeight="1">
      <x:c r="A6" s="16" t="str">
        <x:v>Cafétérias 2060</x:v>
      </x:c>
      <x:c r="B6" s="16" t="n">
        <x:v>2</x:v>
      </x:c>
      <x:c r="C6" s="16" t="str">
        <x:v>Extraire congés, temps de travail, primes, coupures, JF, classifications</x:v>
      </x:c>
      <x:c r="D6" s="16" t="str">
        <x:v>Règles IDCC 2060</x:v>
      </x:c>
      <x:c r="E6" s="16" t="str">
        <x:v>Confusion avec restauration rapide.</x:v>
      </x:c>
    </x:row>
    <x:row r="7" ht="15" hidden="0" customHeight="1">
      <x:c r="A7" s="16" t="str">
        <x:v>Fonction publique locale</x:v>
      </x:c>
      <x:c r="B7" s="16" t="n">
        <x:v>1</x:v>
      </x:c>
      <x:c r="C7" s="16" t="str">
        <x:v>Créer formulaires de paramétrage par établissement/collectivité pour ASA, RTT, cycles, CET, astreintes</x:v>
      </x:c>
      <x:c r="D7" s="16" t="str">
        <x:v>Écran admin 'règles locales public'</x:v>
      </x:c>
      <x:c r="E7" s="16" t="str">
        <x:v>Application de règles privées à des agents publics.</x:v>
      </x:c>
    </x:row>
    <x:row r="8" ht="15" hidden="0" customHeight="1">
      <x:c r="A8" s="16" t="str">
        <x:v>Territoires</x:v>
      </x:c>
      <x:c r="B8" s="16" t="n">
        <x:v>2</x:v>
      </x:c>
      <x:c r="C8" s="16" t="str">
        <x:v>Ajouter Alsace-Moselle, DOM/TOM, conventions territoriales et jours fériés locaux</x:v>
      </x:c>
      <x:c r="D8" s="16" t="str">
        <x:v>Table localisations/jours fériés</x:v>
      </x:c>
      <x:c r="E8" s="16" t="str">
        <x:v>Oubli droits locaux.</x:v>
      </x:c>
    </x:row>
    <x:row r="9" ht="15" hidden="0" customHeight="1">
      <x:c r="A9" s="16" t="str">
        <x:v>Accords entreprise</x:v>
      </x:c>
      <x:c r="B9" s="16" t="n">
        <x:v>1</x:v>
      </x:c>
      <x:c r="C9" s="16" t="str">
        <x:v>Prévoir import/paramétrage accord entreprise et usage : repos, coupures, jours fériés, RTT, primes</x:v>
      </x:c>
      <x:c r="D9" s="16" t="str">
        <x:v>Table overrides entreprise</x:v>
      </x:c>
      <x:c r="E9" s="16" t="str">
        <x:v>Convention de branche insuffisante.</x:v>
      </x:c>
    </x:row>
    <x:row r="10" ht="15" hidden="0" customHeight="1">
      <x:c r="A10" s="16" t="str">
        <x:v>Mise à jour juridique</x:v>
      </x:c>
      <x:c r="B10" s="16" t="n">
        <x:v>1</x:v>
      </x:c>
      <x:c r="C10" s="16" t="str">
        <x:v>Mettre une veille Légifrance/Service Public avec date d'effet et versionning</x:v>
      </x:c>
      <x:c r="D10" s="16" t="str">
        <x:v>Pipeline source_registry + diff</x:v>
      </x:c>
      <x:c r="E10" s="16" t="str">
        <x:v>Règles obsolètes.</x:v>
      </x:c>
    </x:row>
  </x:sheetData>
  <x:pageMargins left="0.7" right="0.7" top="0.75" bottom="0.75" header="0.3" footer="0.3"/>
  <x:tableParts count="1">
    <x:tablePart xmlns:r="http://schemas.openxmlformats.org/officeDocument/2006/relationships" r:id="Re8539a450ac444c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4" max="4" width="18" hidden="0" customWidth="1"/>
    <x:col min="5" max="5" width="70" hidden="0" customWidth="1"/>
  </x:cols>
  <x:sheetData>
    <x:row r="1">
      <x:c r="A1" s="19" t="str">
        <x:v>Toquehub - Base droits RH/planning France V1</x:v>
      </x:c>
      <x:c r="B1" t="str"/>
      <x:c r="C1" t="str"/>
      <x:c r="D1" s="9" t="str"/>
      <x:c r="E1" s="9" t="str"/>
    </x:row>
    <x:row r="3">
      <x:c r="A3" s="8" t="str">
        <x:v>Indicateur</x:v>
      </x:c>
      <x:c r="B3" s="8" t="str">
        <x:v>Valeur</x:v>
      </x:c>
      <x:c r="D3" s="3" t="str">
        <x:v>Règle d'or</x:v>
      </x:c>
      <x:c r="E3" s="3" t="str">
        <x:v>Un métier ne suffit jamais à déterminer les droits.</x:v>
      </x:c>
    </x:row>
    <x:row r="4">
      <x:c r="A4" s="9" t="str">
        <x:v>Conventions/régimes listés</x:v>
      </x:c>
      <x:c r="B4" s="9" t="n">
        <x:f>COUNTA(Conventions_FR!A2:A200)</x:f>
        <x:v>14</x:v>
      </x:c>
      <x:c r="D4" t="str">
        <x:v>Clé 1</x:v>
      </x:c>
      <x:c r="E4" t="str">
        <x:v>Privé : IDCC + accord entreprise + contrat.</x:v>
      </x:c>
    </x:row>
    <x:row r="5">
      <x:c r="A5" s="9" t="str">
        <x:v>Droits communs privé</x:v>
      </x:c>
      <x:c r="B5" s="9" t="n">
        <x:f>COUNTA(Droits_communs_prive!A2:A300)</x:f>
        <x:v>36</x:v>
      </x:c>
      <x:c r="D5" t="str">
        <x:v>Clé 2</x:v>
      </x:c>
      <x:c r="E5" t="str">
        <x:v>Public : FPE/FPT/FPH + règlement local.</x:v>
      </x:c>
    </x:row>
    <x:row r="6">
      <x:c r="A6" s="9" t="str">
        <x:v>Droits publics</x:v>
      </x:c>
      <x:c r="B6" s="9" t="n">
        <x:f>COUNTA(Droits_public!A2:A200)</x:f>
        <x:v>13</x:v>
      </x:c>
      <x:c r="D6" t="str">
        <x:v>Clé 3</x:v>
      </x:c>
      <x:c r="E6" t="str">
        <x:v>Saisonnier/temps partiel changent les compteurs.</x:v>
      </x:c>
    </x:row>
    <x:row r="7">
      <x:c r="A7" s="9" t="str">
        <x:v>Règles conventionnelles pré-renseignées</x:v>
      </x:c>
      <x:c r="B7" s="9" t="n">
        <x:f>COUNTA(Regles_conventions!A2:A300)</x:f>
        <x:v>19</x:v>
      </x:c>
      <x:c r="D7" t="str">
        <x:v>Clé 4</x:v>
      </x:c>
      <x:c r="E7" t="str">
        <x:v>Toujours stocker source_url + effective_from.</x:v>
      </x:c>
    </x:row>
    <x:row r="8">
      <x:c r="A8" s="9" t="str">
        <x:v>Familles métier</x:v>
      </x:c>
      <x:c r="B8" s="9" t="n">
        <x:f>COUNTA(Mapping_metiers!A2:A200)</x:f>
        <x:v>12</x:v>
      </x:c>
      <x:c r="D8" t="str">
        <x:v>Clé 5</x:v>
      </x:c>
      <x:c r="E8" t="str">
        <x:v>Heures vertes = tag interne, jamais source juridique.</x:v>
      </x:c>
    </x:row>
    <x:row r="9">
      <x:c r="A9" s="9" t="str">
        <x:v>Tags/compteurs lexique</x:v>
      </x:c>
      <x:c r="B9" s="9" t="n">
        <x:f>COUNTA(Lexique_tags!A2:A200)</x:f>
        <x:v>10</x:v>
      </x:c>
      <x:c r="D9" t="str">
        <x:v>Clé 6</x:v>
      </x:c>
      <x:c r="E9" t="str">
        <x:v>Appliquer la règle la plus favorable quand applicable.</x:v>
      </x:c>
    </x:row>
    <x:row r="10">
      <x:c r="A10" s="9" t="str">
        <x:v>Sources officielles</x:v>
      </x:c>
      <x:c r="B10" s="9" t="n">
        <x:f>COUNTA(Sources!A2:A200)</x:f>
        <x:v>19</x:v>
      </x:c>
    </x:row>
    <x:row r="11">
      <x:c r="A11" s="9" t="str">
        <x:v>Lots de validation phase 2</x:v>
      </x:c>
      <x:c r="B11" s="9" t="n">
        <x:f>COUNTA(A_valider_phase2!A2:A200)</x:f>
        <x:v>9</x:v>
      </x:c>
    </x:row>
  </x:sheetData>
  <x:mergeCells>
    <x:mergeCell ref="A1:E1"/>
  </x:mergeCells>
  <x:pageMargins left="0.7" right="0.7" top="0.75" bottom="0.75" header="0.3" footer="0.3"/>
</x:worksheet>
</file>